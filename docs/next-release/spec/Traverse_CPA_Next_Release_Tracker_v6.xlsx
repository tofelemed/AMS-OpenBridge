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7dfdab1a514c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ease summary" sheetId="1" r:id="R533171c20bc54f20"/>
    <x:sheet xmlns:r="http://schemas.openxmlformats.org/officeDocument/2006/relationships" name="Release gaps" sheetId="2" r:id="R6ab7befe8db14f06"/>
    <x:sheet xmlns:r="http://schemas.openxmlformats.org/officeDocument/2006/relationships" name="Gate properties" sheetId="3" r:id="R7eb7726bce304096"/>
    <x:sheet xmlns:r="http://schemas.openxmlformats.org/officeDocument/2006/relationships" name="Acceptance" sheetId="4" r:id="Ra8dbba0d736d447d"/>
    <x:sheet xmlns:r="http://schemas.openxmlformats.org/officeDocument/2006/relationships" name="Gate evidence" sheetId="5" r:id="Rce01a18ca7c64c46"/>
    <x:sheet xmlns:r="http://schemas.openxmlformats.org/officeDocument/2006/relationships" name="Response quantities" sheetId="6" r:id="R2e4bdac365034e76"/>
    <x:sheet xmlns:r="http://schemas.openxmlformats.org/officeDocument/2006/relationships" name="Build conflicts" sheetId="7" r:id="R901e738483464f77"/>
    <x:sheet xmlns:r="http://schemas.openxmlformats.org/officeDocument/2006/relationships" name="Loop coverage" sheetId="8" r:id="Rbd39576eabf9477a"/>
    <x:sheet xmlns:r="http://schemas.openxmlformats.org/officeDocument/2006/relationships" name="API changes" sheetId="9" r:id="R5cb8317163024606"/>
    <x:sheet xmlns:r="http://schemas.openxmlformats.org/officeDocument/2006/relationships" name="Sources" sheetId="10" r:id="Ra63cb794e2994ba7"/>
    <x:sheet xmlns:r="http://schemas.openxmlformats.org/officeDocument/2006/relationships" name="Research lineage" sheetId="11" r:id="R80da8080175a465e"/>
    <x:sheet xmlns:r="http://schemas.openxmlformats.org/officeDocument/2006/relationships" name="Execution plan" sheetId="12" r:id="R28486d10730843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6"/>
      <x:color rgb="FFFFFFFF"/>
      <x:name val="Carlito"/>
    </x:font>
    <x:font>
      <x:sz val="10"/>
      <x:color rgb="FF526372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8"/>
      <x:color rgb="FFFFFFFF"/>
      <x:name val="Carlito"/>
    </x:font>
    <x:font>
      <x:sz val="11"/>
      <x:color rgb="FF526372"/>
      <x:name val="Carlito"/>
    </x:font>
    <x:font>
      <x:b/>
      <x:sz val="11"/>
      <x:name val="Carlito"/>
    </x:font>
    <x:font>
      <x:b/>
      <x:sz val="17"/>
      <x:color rgb="FF196B7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E52"/>
      </x:patternFill>
    </x:fill>
    <x:fill>
      <x:patternFill patternType="solid">
        <x:fgColor rgb="FF235E70"/>
      </x:patternFill>
    </x:fill>
    <x:fill>
      <x:patternFill patternType="solid">
        <x:fgColor rgb="FFFFF2CF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horizontal="center" wrapText="1"/>
    </x:xf>
    <x:xf numFmtId="0" fontId="8" fillId="0" borderId="1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</x:cellXfs>
  <x:cellStyles count="1">
    <x:cellStyle name="Normal" xfId="0"/>
  </x:cellStyles>
  <x:dxfs count="1">
    <x:dxf>
      <x:fill>
        <x:patternFill patternType="solid">
          <x:bgColor rgb="FFDCEE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c3c227a8314c0e" /><Relationship Type="http://schemas.openxmlformats.org/officeDocument/2006/relationships/theme" Target="/xl/theme/theme1.xml" Id="Rc60f496f09954fe7" /><Relationship Type="http://schemas.microsoft.com/office/2022/11/relationships/FeaturePropertyBag" Target="/xl/featurePropertyBag/featurePropertyBag.xml" Id="Rd40687a5c6ea4532" /><Relationship Type="http://schemas.openxmlformats.org/officeDocument/2006/relationships/sharedStrings" Target="/xl/sharedStrings.xml" Id="R875f2b9302b6495d" /><Relationship Type="http://schemas.openxmlformats.org/officeDocument/2006/relationships/worksheet" Target="/xl/worksheets/sheet1.xml" Id="R533171c20bc54f20" /><Relationship Type="http://schemas.openxmlformats.org/officeDocument/2006/relationships/worksheet" Target="/xl/worksheets/sheet2.xml" Id="R6ab7befe8db14f06" /><Relationship Type="http://schemas.openxmlformats.org/officeDocument/2006/relationships/worksheet" Target="/xl/worksheets/sheet3.xml" Id="R7eb7726bce304096" /><Relationship Type="http://schemas.openxmlformats.org/officeDocument/2006/relationships/worksheet" Target="/xl/worksheets/sheet4.xml" Id="Ra8dbba0d736d447d" /><Relationship Type="http://schemas.openxmlformats.org/officeDocument/2006/relationships/worksheet" Target="/xl/worksheets/sheet5.xml" Id="Rce01a18ca7c64c46" /><Relationship Type="http://schemas.openxmlformats.org/officeDocument/2006/relationships/worksheet" Target="/xl/worksheets/sheet6.xml" Id="R2e4bdac365034e76" /><Relationship Type="http://schemas.openxmlformats.org/officeDocument/2006/relationships/worksheet" Target="/xl/worksheets/sheet7.xml" Id="R901e738483464f77" /><Relationship Type="http://schemas.openxmlformats.org/officeDocument/2006/relationships/worksheet" Target="/xl/worksheets/sheet8.xml" Id="Rbd39576eabf9477a" /><Relationship Type="http://schemas.openxmlformats.org/officeDocument/2006/relationships/worksheet" Target="/xl/worksheets/sheet9.xml" Id="R5cb8317163024606" /><Relationship Type="http://schemas.openxmlformats.org/officeDocument/2006/relationships/worksheet" Target="/xl/worksheets/sheet10.xml" Id="Ra63cb794e2994ba7" /><Relationship Type="http://schemas.openxmlformats.org/officeDocument/2006/relationships/worksheet" Target="/xl/worksheets/sheet11.xml" Id="R80da8080175a465e" /><Relationship Type="http://schemas.openxmlformats.org/officeDocument/2006/relationships/worksheet" Target="/xl/worksheets/sheet12.xml" Id="R28486d107308439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_Release_gaps" displayName="T_Release_gaps" ref="A4:L30" headerRowCount="1" totalsRowCount="0" totalsRowShown="0">
  <x:tableColumns count="12">
    <x:tableColumn id="1" name="ID"/>
    <x:tableColumn id="2" name="Priority"/>
    <x:tableColumn id="3" name="Evidence basis"/>
    <x:tableColumn id="4" name="Gap"/>
    <x:tableColumn id="5" name="Observed behavior"/>
    <x:tableColumn id="6" name="Required fix"/>
    <x:tableColumn id="7" name="Acceptance"/>
    <x:tableColumn id="8" name="Owner"/>
    <x:tableColumn id="9" name="Status"/>
    <x:tableColumn id="10" name="Release commit"/>
    <x:tableColumn id="11" name="Implementation evidence"/>
    <x:tableColumn id="12" name="Test evid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Gate_properties" displayName="T_Gate_properties" ref="A4:K169" headerRowCount="1" totalsRowCount="0" totalsRowShown="0">
  <x:tableColumns count="11">
    <x:tableColumn id="1" name="ID"/>
    <x:tableColumn id="2" name="Gate"/>
    <x:tableColumn id="3" name="Property"/>
    <x:tableColumn id="4" name="Type"/>
    <x:tableColumn id="5" name="Unit"/>
    <x:tableColumn id="6" name="Starting value"/>
    <x:tableColumn id="7" name="Validation"/>
    <x:tableColumn id="8" name="Change class"/>
    <x:tableColumn id="9" name="Effect"/>
    <x:tableColumn id="10" name="Runtime evidence"/>
    <x:tableColumn id="11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Acceptance" displayName="T_Acceptance" ref="A4:J66" headerRowCount="1" totalsRowCount="0" totalsRowShown="0">
  <x:tableColumns count="10">
    <x:tableColumn id="1" name="ID"/>
    <x:tableColumn id="2" name="Area"/>
    <x:tableColumn id="3" name="Scenario"/>
    <x:tableColumn id="4" name="Expected result"/>
    <x:tableColumn id="5" name="Gap IDs"/>
    <x:tableColumn id="6" name="Owner"/>
    <x:tableColumn id="7" name="Result"/>
    <x:tableColumn id="8" name="Release commit"/>
    <x:tableColumn id="9" name="Test evidence"/>
    <x:tableColumn id="10" name="Reviewe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Gate_evidence" displayName="T_Gate_evidence" ref="A4:H21" headerRowCount="1" totalsRowCount="0" totalsRowShown="0">
  <x:tableColumns count="8">
    <x:tableColumn id="1" name="Gate"/>
    <x:tableColumn id="2" name="Name"/>
    <x:tableColumn id="3" name="Current basis"/>
    <x:tableColumn id="4" name="Required views"/>
    <x:tableColumn id="5" name="Artifact fields"/>
    <x:tableColumn id="6" name="Axes and units"/>
    <x:tableColumn id="7" name="Interaction"/>
    <x:tableColumn id="8" name="Eligibility / failur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Response_quantities" displayName="T_Response_quantities" ref="A4:F56" headerRowCount="1" totalsRowCount="0" totalsRowShown="0">
  <x:tableColumns count="6">
    <x:tableColumn id="1" name="Quantity"/>
    <x:tableColumn id="2" name="Group"/>
    <x:tableColumn id="3" name="Unit"/>
    <x:tableColumn id="4" name="Definition"/>
    <x:tableColumn id="5" name="Applicability"/>
    <x:tableColumn id="6" name="Unavailable reas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Build_conflicts" displayName="T_Build_conflicts" ref="A4:E11" headerRowCount="1" totalsRowCount="0" totalsRowShown="0">
  <x:tableColumns count="5">
    <x:tableColumn id="1" name="ID"/>
    <x:tableColumn id="2" name="Topic"/>
    <x:tableColumn id="3" name="Archive source"/>
    <x:tableColumn id="4" name="New document"/>
    <x:tableColumn id="5" name="Required disposi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_Loop_coverage" displayName="T_Loop_coverage" ref="A4:F16" headerRowCount="1" totalsRowCount="0" totalsRowShown="0">
  <x:tableColumns count="6">
    <x:tableColumn id="1" name="Family"/>
    <x:tableColumn id="2" name="Dynamics"/>
    <x:tableColumn id="3" name="Objective"/>
    <x:tableColumn id="4" name="Response support"/>
    <x:tableColumn id="5" name="Required context"/>
    <x:tableColumn id="6" name="Critical guard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_API_changes" displayName="T_API_changes" ref="A4:E29" headerRowCount="1" totalsRowCount="0" totalsRowShown="0">
  <x:tableColumns count="5">
    <x:tableColumn id="1" name="Method"/>
    <x:tableColumn id="2" name="Path"/>
    <x:tableColumn id="3" name="Permission"/>
    <x:tableColumn id="4" name="Purpose"/>
    <x:tableColumn id="5" name="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_Sources" displayName="T_Sources" ref="A4:E19" headerRowCount="1" totalsRowCount="0" totalsRowShown="0">
  <x:tableColumns count="5">
    <x:tableColumn id="1" name="ID"/>
    <x:tableColumn id="2" name="Reference"/>
    <x:tableColumn id="3" name="URL"/>
    <x:tableColumn id="4" name="Scope / limits"/>
    <x:tableColumn id="5" name="Checked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_Research_lineage" displayName="T_Research_lineage" ref="A4:H56" headerRowCount="1" totalsRowCount="0" totalsRowShown="0">
  <x:tableColumns count="8">
    <x:tableColumn id="1" name="ID"/>
    <x:tableColumn id="2" name="Gate"/>
    <x:tableColumn id="3" name="Method / capability"/>
    <x:tableColumn id="4" name="Disposition"/>
    <x:tableColumn id="5" name="Earlier repository status"/>
    <x:tableColumn id="6" name="Earlier evidence"/>
    <x:tableColumn id="7" name="Caution"/>
    <x:tableColumn id="8" name="Validation statu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_Execution_plan" displayName="T_Execution_plan" ref="A4:E21" headerRowCount="1" totalsRowCount="0" totalsRowShown="0">
  <x:tableColumns count="5">
    <x:tableColumn id="1" name="Gate"/>
    <x:tableColumn id="2" name="Horizon IDs"/>
    <x:tableColumn id="3" name="Trigger"/>
    <x:tableColumn id="4" name="Required qualification"/>
    <x:tableColumn id="5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105232435864d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fd607bd40a74ae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08c80ae539d473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7027b78ec13450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c4c3f21008d47c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1a0dc262fb0406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ed16d2206134e2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25ff50302ea410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703b274dfb3413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02ea5d1dcbb6413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a188f9848fcc4632" /></Relationships>
</file>

<file path=xl/worksheets/sheet1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2" hidden="0" customWidth="1"/>
    <x:col min="3" max="3" width="3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</x:cols>
  <x:sheetData>
    <x:row r="1" ht="38" customHeight="1">
      <x:c r="A1" s="32" t="str">
        <x:v>TRAVERSE CPA  |  NEXT RELEASE v6</x:v>
      </x:c>
      <x:c r="B1" s="32"/>
      <x:c r="C1" s="32"/>
      <x:c r="D1" s="32"/>
      <x:c r="E1" s="32"/>
      <x:c r="F1" s="32"/>
      <x:c r="G1" s="32"/>
      <x:c r="H1" s="32"/>
    </x:row>
    <x:row r="2" ht="25" customHeight="1">
      <x:c r="A2" s="34" t="str">
        <x:v>Read-only source audit + proposed engineering contracts | 16 September 2026</x:v>
      </x:c>
      <x:c r="B2" s="34"/>
      <x:c r="C2" s="34"/>
      <x:c r="D2" s="34"/>
      <x:c r="E2" s="34"/>
      <x:c r="F2" s="34"/>
      <x:c r="G2" s="34"/>
      <x:c r="H2" s="34"/>
    </x:row>
    <x:row r="4" ht="40" customHeight="1">
      <x:c r="A4" s="37" t="str">
        <x:v>Delivery is measured by release-commit and acceptance evidence—not by a similarly named screen or field.</x:v>
      </x:c>
      <x:c r="B4" s="37"/>
      <x:c r="C4" s="37"/>
      <x:c r="D4" s="37"/>
      <x:c r="E4" s="37"/>
      <x:c r="F4" s="37"/>
      <x:c r="G4" s="37"/>
      <x:c r="H4" s="37"/>
    </x:row>
    <x:row r="6" ht="28" customHeight="1">
      <x:c r="A6" s="11" t="str">
        <x:v>RELEASE SCOPE</x:v>
      </x:c>
      <x:c r="B6" s="11" t="str">
        <x:v>COUNT</x:v>
      </x:c>
      <x:c r="C6" s="11" t="str">
        <x:v>Meaning</x:v>
      </x:c>
    </x:row>
    <x:row r="7" ht="40" customHeight="1">
      <x:c r="A7" s="41" t="str">
        <x:v>Source-bound gaps</x:v>
      </x:c>
      <x:c r="B7" s="44" t="n">
        <x:f>COUNTA('Release gaps'!A5:A30)</x:f>
        <x:v>26</x:v>
      </x:c>
      <x:c r="C7" s="41" t="str">
        <x:v>Archive / documents / inference separated</x:v>
      </x:c>
    </x:row>
    <x:row r="8" ht="40" customHeight="1">
      <x:c r="A8" s="41" t="str">
        <x:v>P0 gaps</x:v>
      </x:c>
      <x:c r="B8" s="44" t="n">
        <x:f>COUNTIF('Release gaps'!B5:B30,"P0")</x:f>
        <x:v>22</x:v>
      </x:c>
      <x:c r="C8" s="41" t="str">
        <x:v>Release priority, not incident frequency</x:v>
      </x:c>
    </x:row>
    <x:row r="9" ht="40" customHeight="1">
      <x:c r="A9" s="41" t="str">
        <x:v>Gaps accepted</x:v>
      </x:c>
      <x:c r="B9" s="44" t="n">
        <x:f>COUNTIF('Release gaps'!I5:I30,"Accepted")</x:f>
        <x:v>0</x:v>
      </x:c>
      <x:c r="C9" s="41" t="str">
        <x:v>Developer-controlled completion after evidence</x:v>
      </x:c>
    </x:row>
    <x:row r="10" ht="40" customHeight="1">
      <x:c r="A10" s="41" t="str">
        <x:v>Application scenarios</x:v>
      </x:c>
      <x:c r="B10" s="44" t="n">
        <x:f>COUNTA(Acceptance!A5:A66)</x:f>
        <x:v>62</x:v>
      </x:c>
      <x:c r="C10" s="41" t="str">
        <x:v>Unexecuted against the real application</x:v>
      </x:c>
    </x:row>
    <x:row r="11" ht="40" customHeight="1">
      <x:c r="A11" s="41" t="str">
        <x:v>Application passed</x:v>
      </x:c>
      <x:c r="B11" s="44" t="n">
        <x:f>COUNTIF(Acceptance!G5:G66,"Passed")</x:f>
        <x:v>0</x:v>
      </x:c>
      <x:c r="C11" s="41" t="str">
        <x:v>Must link test evidence and release commit</x:v>
      </x:c>
    </x:row>
    <x:row r="12" ht="40" customHeight="1">
      <x:c r="A12" s="41" t="str">
        <x:v>Proposed properties</x:v>
      </x:c>
      <x:c r="B12" s="44" t="n">
        <x:f>COUNTA('Gate properties'!A5:A169)</x:f>
        <x:v>165</x:v>
      </x:c>
      <x:c r="C12" s="41" t="str">
        <x:v>Typed catalogue; runtime mutation proof required</x:v>
      </x:c>
    </x:row>
    <x:row r="13" ht="40" customHeight="1">
      <x:c r="A13" s="41" t="str">
        <x:v>Gate evidence views</x:v>
      </x:c>
      <x:c r="B13" s="44" t="n">
        <x:f>COUNTA('Gate evidence'!A5:A21)</x:f>
        <x:v>17</x:v>
      </x:c>
      <x:c r="C13" s="41" t="str">
        <x:v>Exact method artifacts; no browser KPI recompute</x:v>
      </x:c>
    </x:row>
    <x:row r="15" ht="27" customHeight="1">
      <x:c r="A15" s="47" t="str">
        <x:v>Verification boundary</x:v>
      </x:c>
      <x:c r="B15" s="47"/>
      <x:c r="C15" s="47"/>
      <x:c r="D15" s="47"/>
      <x:c r="E15" s="47"/>
      <x:c r="F15" s="47"/>
      <x:c r="G15" s="47"/>
      <x:c r="H15" s="47"/>
    </x:row>
    <x:row r="16" ht="28" customHeight="1">
      <x:c r="A16" s="41" t="str">
        <x:v>60 isolated Python reference tests passed. These check selected synthetic response math and contract protections—not the Java/Flink deployment, distributed configuration, MQTT publisher, or plant accuracy. All 62 application scenarios start Not executed.</x:v>
      </x:c>
      <x:c r="B16" s="41"/>
      <x:c r="C16" s="41"/>
      <x:c r="D16" s="41"/>
      <x:c r="E16" s="41"/>
      <x:c r="F16" s="41"/>
      <x:c r="G16" s="41"/>
      <x:c r="H16" s="41"/>
    </x:row>
    <x:row r="17" ht="28" customHeight="1">
      <x:c r="A17" s="41"/>
      <x:c r="B17" s="41"/>
      <x:c r="C17" s="41"/>
      <x:c r="D17" s="41"/>
      <x:c r="E17" s="41"/>
      <x:c r="F17" s="41"/>
      <x:c r="G17" s="41"/>
      <x:c r="H17" s="41"/>
    </x:row>
    <x:row r="19" ht="28" customHeight="1">
      <x:c r="A19" s="7" t="str">
        <x:v>Build identity: the ZIP declares revision 42135ceacf83369499c5398a59e44e14900f75a6. The newer as-built documents have no matching new commit attached. Resolve the seven conflicts before calling a change implemented or still defective.</x:v>
      </x:c>
      <x:c r="B19" s="7"/>
      <x:c r="C19" s="7"/>
      <x:c r="D19" s="7"/>
      <x:c r="E19" s="7"/>
      <x:c r="F19" s="7"/>
      <x:c r="G19" s="7"/>
      <x:c r="H19" s="7"/>
    </x:row>
    <x:row r="20" ht="28" customHeight="1">
      <x:c r="A20" s="7"/>
      <x:c r="B20" s="7"/>
      <x:c r="C20" s="7"/>
      <x:c r="D20" s="7"/>
      <x:c r="E20" s="7"/>
      <x:c r="F20" s="7"/>
      <x:c r="G20" s="7"/>
      <x:c r="H20" s="7"/>
    </x:row>
  </x:sheetData>
  <x:mergeCells>
    <x:mergeCell ref="A1:H1"/>
    <x:mergeCell ref="A2:H2"/>
    <x:mergeCell ref="A4:H4"/>
    <x:mergeCell ref="A15:H15"/>
    <x:mergeCell ref="A16:H17"/>
    <x:mergeCell ref="A19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26" hidden="0" customWidth="1"/>
    <x:col min="4" max="4" width="34" hidden="0" customWidth="1"/>
    <x:col min="5" max="5" width="40" hidden="0" customWidth="1"/>
    <x:col min="6" max="6" width="40" hidden="0" customWidth="1"/>
    <x:col min="7" max="7" width="40" hidden="0" customWidth="1"/>
    <x:col min="8" max="8" width="22" hidden="0" customWidth="1"/>
    <x:col min="9" max="9" width="20" hidden="0" customWidth="1"/>
    <x:col min="10" max="10" width="22" hidden="0" customWidth="1"/>
    <x:col min="11" max="11" width="34" hidden="0" customWidth="1"/>
    <x:col min="12" max="12" width="34" hidden="0" customWidth="1"/>
  </x:cols>
  <x:sheetData>
    <x:row r="1" ht="32" customHeight="1">
      <x:c r="A1" s="3" t="str">
        <x:v>SOURCE-BOUND RELEASE GAPS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6" customHeight="1">
      <x:c r="A2" s="7" t="str">
        <x:v>Source snapshot, newer documents and engineering inferences are distinguished. No current-branch completion is assumed.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0" customHeight="1">
      <x:c r="A4" s="12" t="str">
        <x:v>ID</x:v>
      </x:c>
      <x:c r="B4" s="12" t="str">
        <x:v>Priority</x:v>
      </x:c>
      <x:c r="C4" s="12" t="str">
        <x:v>Evidence basis</x:v>
      </x:c>
      <x:c r="D4" s="12" t="str">
        <x:v>Gap</x:v>
      </x:c>
      <x:c r="E4" s="12" t="str">
        <x:v>Observed behavior</x:v>
      </x:c>
      <x:c r="F4" s="12" t="str">
        <x:v>Required fix</x:v>
      </x:c>
      <x:c r="G4" s="12" t="str">
        <x:v>Acceptance</x:v>
      </x:c>
      <x:c r="H4" s="12" t="str">
        <x:v>Owner</x:v>
      </x:c>
      <x:c r="I4" s="12" t="str">
        <x:v>Status</x:v>
      </x:c>
      <x:c r="J4" s="12" t="str">
        <x:v>Release commit</x:v>
      </x:c>
      <x:c r="K4" s="12" t="str">
        <x:v>Implementation evidence</x:v>
      </x:c>
      <x:c r="L4" s="12" t="str">
        <x:v>Test evidence</x:v>
      </x:c>
    </x:row>
    <x:row r="5" ht="120" customHeight="1">
      <x:c r="A5" s="18" t="str">
        <x:v>R01</x:v>
      </x:c>
      <x:c r="B5" s="18" t="str">
        <x:v>P0</x:v>
      </x:c>
      <x:c r="C5" s="18" t="str">
        <x:v>D + S
V §4.4; A B3; S12</x:v>
      </x:c>
      <x:c r="D5" s="18" t="str">
        <x:v>G12 is not a system-response analysis</x:v>
      </x:c>
      <x:c r="E5" s="18" t="str">
        <x:v>Step-test boolean has no numerical analysis.</x:v>
      </x:c>
      <x:c r="F5" s="18" t="str">
        <x:v>Replace G12 method semantics in v2 output with eligibility, response episodes, models, validation and advisory response comparison; preserve the old boolean as evidence metadata.</x:v>
      </x:c>
      <x:c r="G5" s="18" t="str">
        <x:v>SP response gain never emitted as process gain; integrating process never receives finite static gain.</x:v>
      </x:c>
      <x:c r="H5" s="18" t="str">
        <x:v>Flink + Controls</x:v>
      </x:c>
      <x:c r="I5" s="22" t="str">
        <x:v>Not started</x:v>
      </x:c>
      <x:c r="J5" s="18" t="str"/>
      <x:c r="K5" s="18" t="str"/>
      <x:c r="L5" s="18" t="str"/>
    </x:row>
    <x:row r="6" ht="120" customHeight="1">
      <x:c r="A6" s="18" t="str">
        <x:v>R02</x:v>
      </x:c>
      <x:c r="B6" s="18" t="str">
        <x:v>P0</x:v>
      </x:c>
      <x:c r="C6" s="18" t="str">
        <x:v>D + S
V §5–6, worked example §8; S12 S13</x:v>
      </x:c>
      <x:c r="D6" s="18" t="str">
        <x:v>Generic final-element confirmation is unsound</x:v>
      </x:c>
      <x:c r="E6" s="18" t="str">
        <x:v>An oscillation/effort winner can be labelled confirmed final-element nonlinearity when VP exists.</x:v>
      </x:c>
      <x:c r="F6" s="18" t="str">
        <x:v>Separate observations, hypotheses, fault-scoped confirmation and severity. Positive VP evidence required for non-following; NAMUR must not inflate a valve score.</x:v>
      </x:c>
      <x:c r="G6" s="18" t="str">
        <x:v>Effort-only, linear delay, and fresh healthy VP never confirm stiction.</x:v>
      </x:c>
      <x:c r="H6" s="18" t="str">
        <x:v>Flink + Controls</x:v>
      </x:c>
      <x:c r="I6" s="22" t="str">
        <x:v>Not started</x:v>
      </x:c>
      <x:c r="J6" s="18" t="str"/>
      <x:c r="K6" s="18" t="str"/>
      <x:c r="L6" s="18" t="str"/>
    </x:row>
    <x:row r="7" ht="120" customHeight="1">
      <x:c r="A7" s="18" t="str">
        <x:v>R03</x:v>
      </x:c>
      <x:c r="B7" s="18" t="str">
        <x:v>P0</x:v>
      </x:c>
      <x:c r="C7" s="18" t="str">
        <x:v>D + S
A B2; V §2; S16 S17</x:v>
      </x:c>
      <x:c r="D7" s="18" t="str">
        <x:v>Native per-role fidelity is not preserved</x:v>
      </x:c>
      <x:c r="E7" s="18" t="str">
        <x:v>Tuple has one time/quality; latest-member assembly and optional role holding lose delay/freshness evidence.</x:v>
      </x:c>
      <x:c r="F7" s="18" t="str">
        <x:v>Add per-role value, source sample time, last verified time, native quality/protocol, acquisition mode, interpolation and binding revision; retain original observations.</x:v>
      </x:c>
      <x:c r="G7" s="18" t="str">
        <x:v>Stale PV with fresh OP and stale optional VP remain distinguishable; no invented delay.</x:v>
      </x:c>
      <x:c r="H7" s="18" t="str">
        <x:v>Ingestion + Data</x:v>
      </x:c>
      <x:c r="I7" s="22" t="str">
        <x:v>Not started</x:v>
      </x:c>
      <x:c r="J7" s="18" t="str"/>
      <x:c r="K7" s="18" t="str"/>
      <x:c r="L7" s="18" t="str"/>
    </x:row>
    <x:row r="8" ht="120" customHeight="1">
      <x:c r="A8" s="18" t="str">
        <x:v>R04</x:v>
      </x:c>
      <x:c r="B8" s="18" t="str">
        <x:v>P0</x:v>
      </x:c>
      <x:c r="C8" s="18" t="str">
        <x:v>D + S
V §2 and §10.6; S11 S16</x:v>
      </x:c>
      <x:c r="D8" s="18" t="str">
        <x:v>Unknown/numeric quality can become GOOD</x:v>
      </x:c>
      <x:c r="E8" s="18" t="str">
        <x:v>Missing quality and broad g-prefix acceptance; V explicitly flags numeric zero handling.</x:v>
      </x:c>
      <x:c r="F8" s="18" t="str">
        <x:v>Protocol-specific quality decoder; UNKNOWN != GOOD; preserve native code; schema strict finite values for every numeric role.</x:v>
      </x:c>
      <x:c r="G8" s="18" t="str">
        <x:v>Numeric OPC bad zero, GARBAGE, NaN/infinity and invalid VP rejected/qualified correctly.</x:v>
      </x:c>
      <x:c r="H8" s="18" t="str">
        <x:v>Ingestion + Flink</x:v>
      </x:c>
      <x:c r="I8" s="22" t="str">
        <x:v>Not started</x:v>
      </x:c>
      <x:c r="J8" s="18" t="str"/>
      <x:c r="K8" s="18" t="str"/>
      <x:c r="L8" s="18" t="str"/>
    </x:row>
    <x:row r="9" ht="120" customHeight="1">
      <x:c r="A9" s="18" t="str">
        <x:v>R05</x:v>
      </x:c>
      <x:c r="B9" s="18" t="str">
        <x:v>P0</x:v>
      </x:c>
      <x:c r="C9" s="18" t="str">
        <x:v>D + I
A A6; V §9</x:v>
      </x:c>
      <x:c r="D9" s="18" t="str">
        <x:v>Five-second capture cannot cover the configured fast dynamics</x:v>
      </x:c>
      <x:c r="E9" s="18" t="str">
        <x:v>FIC 10s minimum oscillation period and PIC 5s conflict with eight-samples-per-period requirement at 5s; faster step dynamics similarly unobservable.</x:v>
      </x:c>
      <x:c r="F9" s="18" t="str">
        <x:v>Per-loop acquisition policy and method bandwidth qualification; request better native capture instead of interpolation.</x:v>
      </x:c>
      <x:c r="G9" s="18" t="str">
        <x:v>5s sampling cannot claim 5s period or precise subsecond dead time.</x:v>
      </x:c>
      <x:c r="H9" s="18" t="str">
        <x:v>Controls + Ingestion</x:v>
      </x:c>
      <x:c r="I9" s="22" t="str">
        <x:v>Not started</x:v>
      </x:c>
      <x:c r="J9" s="18" t="str"/>
      <x:c r="K9" s="18" t="str"/>
      <x:c r="L9" s="18" t="str"/>
    </x:row>
    <x:row r="10" ht="120" customHeight="1">
      <x:c r="A10" s="18" t="str">
        <x:v>R06</x:v>
      </x:c>
      <x:c r="B10" s="18" t="str">
        <x:v>P0</x:v>
      </x:c>
      <x:c r="C10" s="18" t="str">
        <x:v>D + S
V §4.1/§10; S11</x:v>
      </x:c>
      <x:c r="D10" s="18" t="str">
        <x:v>G2/G4 decisions remain unit-dependent</x:v>
      </x:c>
      <x:c r="E10" s="18" t="str">
        <x:v>SP range in EU; G4 normalized OP divided by raw PV sigma with hardcoded 3/8.</x:v>
      </x:c>
      <x:c r="F10" s="18" t="str">
        <x:v>Approved engineering objectives for G2, dimensionless contextual effort for G4; do not use effort as physical fault classifier.</x:v>
      </x:c>
      <x:c r="G10" s="18" t="str">
        <x:v>Unit-conversion invariance in metrics requiring it; actual gain carries converted units.</x:v>
      </x:c>
      <x:c r="H10" s="18" t="str">
        <x:v>Flink</x:v>
      </x:c>
      <x:c r="I10" s="22" t="str">
        <x:v>Not started</x:v>
      </x:c>
      <x:c r="J10" s="18" t="str"/>
      <x:c r="K10" s="18" t="str"/>
      <x:c r="L10" s="18" t="str"/>
    </x:row>
    <x:row r="11" ht="120" customHeight="1">
      <x:c r="A11" s="18" t="str">
        <x:v>R07</x:v>
      </x:c>
      <x:c r="B11" s="18" t="str">
        <x:v>P0</x:v>
      </x:c>
      <x:c r="C11" s="18" t="str">
        <x:v>D + S
V §4.2–5; S20 S21</x:v>
      </x:c>
      <x:c r="D11" s="18" t="str">
        <x:v>Geometry and lag statistics are over-interpreted</x:v>
      </x:c>
      <x:c r="E11" s="18" t="str">
        <x:v>G8 asymmetry is called Horch oddness/odd harmonics and fed to stiction; phase area can arise from linear dynamics.</x:v>
      </x:c>
      <x:c r="F11" s="18" t="str">
        <x:v>Accurate method IDs, applicability, evidence groups and contradictions; retain valid existing fast-flow geometry safeguards.</x:v>
      </x:c>
      <x:c r="G11" s="18" t="str">
        <x:v>Purely linear delayed plant does not become confirmed nonlinear final element.</x:v>
      </x:c>
      <x:c r="H11" s="18" t="str">
        <x:v>Controls + Flink</x:v>
      </x:c>
      <x:c r="I11" s="22" t="str">
        <x:v>Not started</x:v>
      </x:c>
      <x:c r="J11" s="18" t="str"/>
      <x:c r="K11" s="18" t="str"/>
      <x:c r="L11" s="18" t="str"/>
    </x:row>
    <x:row r="12" ht="120" customHeight="1">
      <x:c r="A12" s="18" t="str">
        <x:v>R08</x:v>
      </x:c>
      <x:c r="B12" s="18" t="str">
        <x:v>P0</x:v>
      </x:c>
      <x:c r="C12" s="18" t="str">
        <x:v>D + S
V G10/G11; S11</x:v>
      </x:c>
      <x:c r="D12" s="18" t="str">
        <x:v>Limits and freeze rely on broad windows/sample counts</x:v>
      </x:c>
      <x:c r="E12" s="18" t="str">
        <x:v>Default 5/95; dwell 30 samples; 60-second freeze additionally needs 10% of long window.</x:v>
      </x:c>
      <x:c r="F12" s="18" t="str">
        <x:v>Use actual time-valid limits, physical dwell, source-qualified flatness episodes, fast condition path; long report aggregates cannot erase events.</x:v>
      </x:c>
      <x:c r="G12" s="18" t="str">
        <x:v>80% active maximum detected; 1h freeze remains visible in 24h; historian hold not automatically freeze.</x:v>
      </x:c>
      <x:c r="H12" s="18" t="str">
        <x:v>Flink</x:v>
      </x:c>
      <x:c r="I12" s="22" t="str">
        <x:v>Not started</x:v>
      </x:c>
      <x:c r="J12" s="18" t="str"/>
      <x:c r="K12" s="18" t="str"/>
      <x:c r="L12" s="18" t="str"/>
    </x:row>
    <x:row r="13" ht="120" customHeight="1">
      <x:c r="A13" s="18" t="str">
        <x:v>R09</x:v>
      </x:c>
      <x:c r="B13" s="18" t="str">
        <x:v>P1</x:v>
      </x:c>
      <x:c r="C13" s="18" t="str">
        <x:v>D + S
V §4.4/§5; S12</x:v>
      </x:c>
      <x:c r="D13" s="18" t="str">
        <x:v>G13 links are not interaction analysis</x:v>
      </x:c>
      <x:c r="E13" s="18" t="str">
        <x:v>Peers are availability and heuristic exclusion.</x:v>
      </x:c>
      <x:c r="F13" s="18" t="str">
        <x:v>Actual aligned peer analysis with coherence/lag/support, topology used for candidate selection only.</x:v>
      </x:c>
      <x:c r="G13" s="18" t="str">
        <x:v>Link existence alone cannot call victim or rule out local faults.</x:v>
      </x:c>
      <x:c r="H13" s="18" t="str">
        <x:v>Flink + Context</x:v>
      </x:c>
      <x:c r="I13" s="22" t="str">
        <x:v>Not started</x:v>
      </x:c>
      <x:c r="J13" s="18" t="str"/>
      <x:c r="K13" s="18" t="str"/>
      <x:c r="L13" s="18" t="str"/>
    </x:row>
    <x:row r="14" ht="120" customHeight="1">
      <x:c r="A14" s="18" t="str">
        <x:v>R10</x:v>
      </x:c>
      <x:c r="B14" s="18" t="str">
        <x:v>P0</x:v>
      </x:c>
      <x:c r="C14" s="18" t="str">
        <x:v>D + S
V §6; S23</x:v>
      </x:c>
      <x:c r="D14" s="18" t="str">
        <x:v>Missing evidence closes an episode</x:v>
      </x:c>
      <x:c r="E14" s="18" t="str">
        <x:v>EXCLUDED/INSUFFICIENT/NO_CALL close event frames.</x:v>
      </x:c>
      <x:c r="F14" s="18" t="str">
        <x:v>Maintain observation availability separately; require supported recovery on comparable interval; dedupe revisions and overlapping support.</x:v>
      </x:c>
      <x:c r="G14" s="18" t="str">
        <x:v>NAMUR outage or rejected model cannot close an unresolved physical condition.</x:v>
      </x:c>
      <x:c r="H14" s="18" t="str">
        <x:v>Backend + Flink</x:v>
      </x:c>
      <x:c r="I14" s="22" t="str">
        <x:v>Not started</x:v>
      </x:c>
      <x:c r="J14" s="18" t="str"/>
      <x:c r="K14" s="18" t="str"/>
      <x:c r="L14" s="18" t="str"/>
    </x:row>
    <x:row r="15" ht="120" customHeight="1">
      <x:c r="A15" s="18" t="str">
        <x:v>R11</x:v>
      </x:c>
      <x:c r="B15" s="18" t="str">
        <x:v>P0</x:v>
      </x:c>
      <x:c r="C15" s="18" t="str">
        <x:v>D + S
A A6; V §3</x:v>
      </x:c>
      <x:c r="D15" s="18" t="str">
        <x:v>Response/health paths wait on long fusion or lack results</x:v>
      </x:c>
      <x:c r="E15" s="18" t="str">
        <x:v>Fusion only 12h/24h every15min; 4h not fused.</x:v>
      </x:c>
      <x:c r="F15" s="18" t="str">
        <x:v>Publish G12 event analyses and fast G10/G11 health updates independently; G15 consumes compatible evidence without inventing support.</x:v>
      </x:c>
      <x:c r="G15" s="18" t="str">
        <x:v>Fast flow response available when episode qualifies, not at next daily horizon.</x:v>
      </x:c>
      <x:c r="H15" s="18" t="str">
        <x:v>Flink + API</x:v>
      </x:c>
      <x:c r="I15" s="22" t="str">
        <x:v>Not started</x:v>
      </x:c>
      <x:c r="J15" s="18" t="str"/>
      <x:c r="K15" s="18" t="str"/>
      <x:c r="L15" s="18" t="str"/>
    </x:row>
    <x:row r="16" ht="120" customHeight="1">
      <x:c r="A16" s="18" t="str">
        <x:v>R12</x:v>
      </x:c>
      <x:c r="B16" s="18" t="str">
        <x:v>P0</x:v>
      </x:c>
      <x:c r="C16" s="18" t="str">
        <x:v>D + S
A B6; S06 S07 S08</x:v>
      </x:c>
      <x:c r="D16" s="18" t="str">
        <x:v>Per-gate evidence plots are incomplete</x:v>
      </x:c>
      <x:c r="E16" s="18" t="str">
        <x:v>General synchronized trends and replay phase plane exist, but no exact ACF/PSD/fits/residuals evidence contract.</x:v>
      </x:c>
      <x:c r="F16" s="18" t="str">
        <x:v>Implement 17 gate trend specifications on existing ECharts/OpenBridge stack, with Flink-produced artifacts and immutable result IDs.</x:v>
      </x:c>
      <x:c r="G16" s="18" t="str">
        <x:v>G7 shows actual fitted cycles; G8 shows actual lag correlations, not generic phase plane; G12 shows fit and residuals.</x:v>
      </x:c>
      <x:c r="H16" s="18" t="str">
        <x:v>Frontend + Flink + API</x:v>
      </x:c>
      <x:c r="I16" s="22" t="str">
        <x:v>Not started</x:v>
      </x:c>
      <x:c r="J16" s="18" t="str"/>
      <x:c r="K16" s="18" t="str"/>
      <x:c r="L16" s="18" t="str"/>
    </x:row>
    <x:row r="17" ht="120" customHeight="1">
      <x:c r="A17" s="18" t="str">
        <x:v>R13</x:v>
      </x:c>
      <x:c r="B17" s="18" t="str">
        <x:v>P0</x:v>
      </x:c>
      <x:c r="C17" s="18" t="str">
        <x:v>S; latest recheck required
S06</x:v>
      </x:c>
      <x:c r="D17" s="18" t="str">
        <x:v>Evidence drawer can silently select latest</x:v>
      </x:c>
      <x:c r="E17" s="18" t="str">
        <x:v>useLatestGates and static gate roles are used by the evidence panel.</x:v>
      </x:c>
      <x:c r="F17" s="18" t="str">
        <x:v>Pass methodRunId/window/run context into panel; display role and threshold from actual evaluation.</x:v>
      </x:c>
      <x:c r="G17" s="18" t="str">
        <x:v>Historical G9 click cannot show current G9 or a role from another profile.</x:v>
      </x:c>
      <x:c r="H17" s="18" t="str">
        <x:v>Frontend + API</x:v>
      </x:c>
      <x:c r="I17" s="22" t="str">
        <x:v>Not started</x:v>
      </x:c>
      <x:c r="J17" s="18" t="str"/>
      <x:c r="K17" s="18" t="str"/>
      <x:c r="L17" s="18" t="str"/>
    </x:row>
    <x:row r="18" ht="120" customHeight="1">
      <x:c r="A18" s="18" t="str">
        <x:v>R14</x:v>
      </x:c>
      <x:c r="B18" s="18" t="str">
        <x:v>P1</x:v>
      </x:c>
      <x:c r="C18" s="18" t="str">
        <x:v>S; latest recheck required
S08</x:v>
      </x:c>
      <x:c r="D18" s="18" t="str">
        <x:v>Mixed units on signal chart axis</x:v>
      </x:c>
      <x:c r="E18" s="18" t="str">
        <x:v>PV/SP and OP/VP plotted on same value axis.</x:v>
      </x:c>
      <x:c r="F18" s="18" t="str">
        <x:v>Shared time, separate engineering axes/panes; explicit optional normalization; step-hold only where source contract supports it.</x:v>
      </x:c>
      <x:c r="G18" s="18" t="str">
        <x:v>400-degree PV and 0–100% output are independently legible with correct tooltips.</x:v>
      </x:c>
      <x:c r="H18" s="18" t="str">
        <x:v>Frontend</x:v>
      </x:c>
      <x:c r="I18" s="22" t="str">
        <x:v>Not started</x:v>
      </x:c>
      <x:c r="J18" s="18" t="str"/>
      <x:c r="K18" s="18" t="str"/>
      <x:c r="L18" s="18" t="str"/>
    </x:row>
    <x:row r="19" ht="120" customHeight="1">
      <x:c r="A19" s="18" t="str">
        <x:v>R15</x:v>
      </x:c>
      <x:c r="B19" s="18" t="str">
        <x:v>P0</x:v>
      </x:c>
      <x:c r="C19" s="18" t="str">
        <x:v>D + I
A A1/B2/B6; S16; scope search</x:v>
      </x:c>
      <x:c r="D19" s="18" t="str">
        <x:v>Instrumental NAMUR integration is not specified</x:v>
      </x:c>
      <x:c r="E19" s="18" t="str">
        <x:v>No contracted transmitter-device binding, health MQTT payload, historical health context or G11/G12 rules.</x:v>
      </x:c>
      <x:c r="F19" s="18" t="str">
        <x:v>Versioned MQTT health state/event envelopes; temporal primary device binding; Flink contextual qualification; native status separate from PV quality.</x:v>
      </x:c>
      <x:c r="G19" s="18" t="str">
        <x:v>F/C/S/M, stale source, simultaneous states, late corrections and device replacement all handled as specified.</x:v>
      </x:c>
      <x:c r="H19" s="18" t="str">
        <x:v>Instrumental + Ingestion + Flink</x:v>
      </x:c>
      <x:c r="I19" s="22" t="str">
        <x:v>Not started</x:v>
      </x:c>
      <x:c r="J19" s="18" t="str"/>
      <x:c r="K19" s="18" t="str"/>
      <x:c r="L19" s="18" t="str"/>
    </x:row>
    <x:row r="20" ht="120" customHeight="1">
      <x:c r="A20" s="18" t="str">
        <x:v>R16</x:v>
      </x:c>
      <x:c r="B20" s="18" t="str">
        <x:v>P0</x:v>
      </x:c>
      <x:c r="C20" s="18" t="str">
        <x:v>S + document contradiction
A B8; V §9; S02 S09 S10</x:v>
      </x:c>
      <x:c r="D20" s="18" t="str">
        <x:v>Complete configuration panel is not implemented</x:v>
      </x:c>
      <x:c r="E20" s="18" t="str">
        <x:v>Profile ID, YAML, partial parameter parser/broadcast exist; complete property form and effect proof absent.</x:v>
      </x:c>
      <x:c r="F20" s="18" t="str">
        <x:v>Schema-driven gate catalogue/editor with effective values, inheritance, typed bounds, scope, preview, approval, activation and rollback.</x:v>
      </x:c>
      <x:c r="G20" s="18" t="str">
        <x:v>Each exposed field has a runtime reader and mutation acceptance test; unknown fields rejected.</x:v>
      </x:c>
      <x:c r="H20" s="18" t="str">
        <x:v>API + Frontend + Flink</x:v>
      </x:c>
      <x:c r="I20" s="22" t="str">
        <x:v>Not started</x:v>
      </x:c>
      <x:c r="J20" s="18" t="str"/>
      <x:c r="K20" s="18" t="str"/>
      <x:c r="L20" s="18" t="str"/>
    </x:row>
    <x:row r="21" ht="120" customHeight="1">
      <x:c r="A21" s="18" t="str">
        <x:v>R17</x:v>
      </x:c>
      <x:c r="B21" s="18" t="str">
        <x:v>P0</x:v>
      </x:c>
      <x:c r="C21" s="18" t="str">
        <x:v>S; latest recheck required
S01 S04 S05</x:v>
      </x:c>
      <x:c r="D21" s="18" t="str">
        <x:v>Configuration scoping and fallback are unsafe</x:v>
      </x:c>
      <x:c r="E21" s="18" t="str">
        <x:v>Global aliases/static cache; malformed parse swallowed; partial override creates class defaults rather than deterministic deep merge.</x:v>
      </x:c>
      <x:c r="F21" s="18" t="str">
        <x:v>Operator-owned versioned state, qualified keys, immutable effective bundle, explicit rejection and last-known-good status; deterministic inheritance.</x:v>
      </x:c>
      <x:c r="G21" s="18" t="str">
        <x:v>Two loops with overrides cannot leak parameters; restore/rescale produces same bundle.</x:v>
      </x:c>
      <x:c r="H21" s="18" t="str">
        <x:v>Flink + Config</x:v>
      </x:c>
      <x:c r="I21" s="22" t="str">
        <x:v>Not started</x:v>
      </x:c>
      <x:c r="J21" s="18" t="str"/>
      <x:c r="K21" s="18" t="str"/>
      <x:c r="L21" s="18" t="str"/>
    </x:row>
    <x:row r="22" ht="120" customHeight="1">
      <x:c r="A22" s="18" t="str">
        <x:v>R18</x:v>
      </x:c>
      <x:c r="B22" s="18" t="str">
        <x:v>P0</x:v>
      </x:c>
      <x:c r="C22" s="18" t="str">
        <x:v>S + D
A A6/B8; S14 S15</x:v>
      </x:c>
      <x:c r="D22" s="18" t="str">
        <x:v>Window/state changes are not ordinary hot parameters</x:v>
      </x:c>
      <x:c r="E22" s="18" t="str">
        <x:v>Static short windows and long retention/timers coexist with profile override claims.</x:v>
      </x:c>
      <x:c r="F22" s="18" t="str">
        <x:v>Classify threshold-only, state-boundary, deployment-bound settings; implement bounded dynamic scheduler before promising arbitrary durations.</x:v>
      </x:c>
      <x:c r="G22" s="18" t="str">
        <x:v>Unsupported window/method fails validation; no silent resource overrun or mixed profile result.</x:v>
      </x:c>
      <x:c r="H22" s="18" t="str">
        <x:v>Flink + Platform</x:v>
      </x:c>
      <x:c r="I22" s="22" t="str">
        <x:v>Not started</x:v>
      </x:c>
      <x:c r="J22" s="18" t="str"/>
      <x:c r="K22" s="18" t="str"/>
      <x:c r="L22" s="18" t="str"/>
    </x:row>
    <x:row r="23" ht="120" customHeight="1">
      <x:c r="A23" s="18" t="str">
        <x:v>R19</x:v>
      </x:c>
      <x:c r="B23" s="18" t="str">
        <x:v>P0</x:v>
      </x:c>
      <x:c r="C23" s="18" t="str">
        <x:v>D + S
A A5/A7; S19; v5 D14–D16</x:v>
      </x:c>
      <x:c r="D23" s="18" t="str">
        <x:v>Run identity and historical context remain incomplete</x:v>
      </x:c>
      <x:c r="E23" s="18" t="str">
        <x:v>Sample-count guarded upserts and Kafka-only replay; latest flags/ranges can differ from historical reality.</x:v>
      </x:c>
      <x:c r="F23" s="18" t="str">
        <x:v>Immutable result/run+bundle+bindings IDs, purpose isolation, retained evidence; replay native history using same kernel after Kafka expiry.</x:v>
      </x:c>
      <x:c r="G23" s="18" t="str">
        <x:v>Replaying old data never uses today's replacement transmitter or publishes live episodes.</x:v>
      </x:c>
      <x:c r="H23" s="18" t="str">
        <x:v>Backend + Flink + Data</x:v>
      </x:c>
      <x:c r="I23" s="22" t="str">
        <x:v>Not started</x:v>
      </x:c>
      <x:c r="J23" s="18" t="str"/>
      <x:c r="K23" s="18" t="str"/>
      <x:c r="L23" s="18" t="str"/>
    </x:row>
    <x:row r="24" ht="120" customHeight="1">
      <x:c r="A24" s="18" t="str">
        <x:v>R20</x:v>
      </x:c>
      <x:c r="B24" s="18" t="str">
        <x:v>P0</x:v>
      </x:c>
      <x:c r="C24" s="18" t="str">
        <x:v>D + I
A A4/B9; S18 is older</x:v>
      </x:c>
      <x:c r="D24" s="18" t="str">
        <x:v>Heartbeat can disguise stale measurement</x:v>
      </x:c>
      <x:c r="E24" s="18" t="str">
        <x:v>New doc explicitly says heartbeat gives fresh ts; fields do not distinguish sampling from delivery.</x:v>
      </x:c>
      <x:c r="F24" s="18" t="str">
        <x:v>source_time, last_verified_time and emission_time separately; health/quality transitions bypass numeric RBE deadband.</x:v>
      </x:c>
      <x:c r="G24" s="18" t="str">
        <x:v>Broker heartbeat does not reset device/source age; same value BAD update is delivered.</x:v>
      </x:c>
      <x:c r="H24" s="18" t="str">
        <x:v>Live + Ingestion + Frontend</x:v>
      </x:c>
      <x:c r="I24" s="22" t="str">
        <x:v>Not started</x:v>
      </x:c>
      <x:c r="J24" s="18" t="str"/>
      <x:c r="K24" s="18" t="str"/>
      <x:c r="L24" s="18" t="str"/>
    </x:row>
    <x:row r="25" ht="120" customHeight="1">
      <x:c r="A25" s="18" t="str">
        <x:v>R21</x:v>
      </x:c>
      <x:c r="B25" s="18" t="str">
        <x:v>P1</x:v>
      </x:c>
      <x:c r="C25" s="18" t="str">
        <x:v>D + I
A A4; V §2</x:v>
      </x:c>
      <x:c r="D25" s="18" t="str">
        <x:v>Live latency claim lacks a defined start point</x:v>
      </x:c>
      <x:c r="E25" s="18" t="str">
        <x:v>1–2s live paint claimed downstream of 5s grid with quiet-tick skipping.</x:v>
      </x:c>
      <x:c r="F25" s="18" t="str">
        <x:v>Measure OT observation-to-display and ingest-tuple-to-display separately; align budgets to acquisition interval.</x:v>
      </x:c>
      <x:c r="G25" s="18" t="str">
        <x:v>Report end-to-end p95/p99 under declared sampling instead of advertising 1s on a 5s source.</x:v>
      </x:c>
      <x:c r="H25" s="18" t="str">
        <x:v>Platform + QA</x:v>
      </x:c>
      <x:c r="I25" s="22" t="str">
        <x:v>Not started</x:v>
      </x:c>
      <x:c r="J25" s="18" t="str"/>
      <x:c r="K25" s="18" t="str"/>
      <x:c r="L25" s="18" t="str"/>
    </x:row>
    <x:row r="26" ht="120" customHeight="1">
      <x:c r="A26" s="18" t="str">
        <x:v>R22</x:v>
      </x:c>
      <x:c r="B26" s="18" t="str">
        <x:v>P0</x:v>
      </x:c>
      <x:c r="C26" s="18" t="str">
        <x:v>S; current confirmation required
v5 D12 D13 D18; S23 S24</x:v>
      </x:c>
      <x:c r="D26" s="18" t="str">
        <x:v>Persistence/recovery defects carried forward</x:v>
      </x:c>
      <x:c r="E26" s="18" t="str">
        <x:v>Earlier source shows idempotency, offset recovery and projection-reconciliation gaps.</x:v>
      </x:c>
      <x:c r="F26" s="18" t="str">
        <x:v>Complete v5 fixes and regression proof; cannot certify current deployment from newer documents.</x:v>
      </x:c>
      <x:c r="G26" s="18" t="str">
        <x:v>Crash/retry does not lose results or duplicate episodes; historian lag/backlog visible.</x:v>
      </x:c>
      <x:c r="H26" s="18" t="str">
        <x:v>Backend + Data</x:v>
      </x:c>
      <x:c r="I26" s="22" t="str">
        <x:v>Not started</x:v>
      </x:c>
      <x:c r="J26" s="18" t="str"/>
      <x:c r="K26" s="18" t="str"/>
      <x:c r="L26" s="18" t="str"/>
    </x:row>
    <x:row r="27" ht="120" customHeight="1">
      <x:c r="A27" s="18" t="str">
        <x:v>R23</x:v>
      </x:c>
      <x:c r="B27" s="18" t="str">
        <x:v>P0</x:v>
      </x:c>
      <x:c r="C27" s="18" t="str">
        <x:v>S; current confirmation required
v5 D17 D19–D21 D25</x:v>
      </x:c>
      <x:c r="D27" s="18" t="str">
        <x:v>Identity, SQL-init, build and scope issues carried forward</x:v>
      </x:c>
      <x:c r="E27" s="18" t="str">
        <x:v>Earlier findings not closed by new architecture narrative.</x:v>
      </x:c>
      <x:c r="F27" s="18" t="str">
        <x:v>Preserve D17/D19–D21/D25 and verify current commit with targeted tests; retirement, collision-safe identity, clean init, real CI and site authorization.</x:v>
      </x:c>
      <x:c r="G27" s="18" t="str">
        <x:v>Evidence of closure on release commit required; no assumed remediation.</x:v>
      </x:c>
      <x:c r="H27" s="18" t="str">
        <x:v>Platform + API + QA</x:v>
      </x:c>
      <x:c r="I27" s="22" t="str">
        <x:v>Not started</x:v>
      </x:c>
      <x:c r="J27" s="18" t="str"/>
      <x:c r="K27" s="18" t="str"/>
      <x:c r="L27" s="18" t="str"/>
    </x:row>
    <x:row r="28" ht="120" customHeight="1">
      <x:c r="A28" s="18" t="str">
        <x:v>R24</x:v>
      </x:c>
      <x:c r="B28" s="18" t="str">
        <x:v>P1</x:v>
      </x:c>
      <x:c r="C28" s="18" t="str">
        <x:v>D + I
A B4/B6; v5 D22 D23</x:v>
      </x:c>
      <x:c r="D28" s="18" t="str">
        <x:v>Lifecycle feature catalogue exceeds current work control</x:v>
      </x:c>
      <x:c r="E28" s="18" t="str">
        <x:v>Ack/shelve/notes and audit are not repair verification, calibration workflow or engineering approval.</x:v>
      </x:c>
      <x:c r="F28" s="18" t="str">
        <x:v>Next release stores response/model/health evidence on owned investigations and approved change/verification references; retain broader v5 lifecycle backlog.</x:v>
      </x:c>
      <x:c r="G28" s="18" t="str">
        <x:v>Completed work and performance-restored remain distinct.</x:v>
      </x:c>
      <x:c r="H28" s="18" t="str">
        <x:v>I&amp;C owner + API</x:v>
      </x:c>
      <x:c r="I28" s="22" t="str">
        <x:v>Not started</x:v>
      </x:c>
      <x:c r="J28" s="18" t="str"/>
      <x:c r="K28" s="18" t="str"/>
      <x:c r="L28" s="18" t="str"/>
    </x:row>
    <x:row r="29" ht="120" customHeight="1">
      <x:c r="A29" s="18" t="str">
        <x:v>R25</x:v>
      </x:c>
      <x:c r="B29" s="18" t="str">
        <x:v>P0</x:v>
      </x:c>
      <x:c r="C29" s="18" t="str">
        <x:v>D + S
V §9; S22</x:v>
      </x:c>
      <x:c r="D29" s="18" t="str">
        <x:v>Tag-derived loop class cannot ensure all-type correctness</x:v>
      </x:c>
      <x:c r="E29" s="18" t="str">
        <x:v>TIC/FIC/LIC/PIC defaults conflate measurement family, dynamics and objective.</x:v>
      </x:c>
      <x:c r="F29" s="18" t="str">
        <x:v>Separate service family, dynamic class, topology, objective, observability and acquisition; support explicit exceptions and unsupported-method reasons.</x:v>
      </x:c>
      <x:c r="G29" s="18" t="str">
        <x:v>Tight LIC, self-regulating level, fast gas pressure, slow flow and cascade master handled without default misclassification.</x:v>
      </x:c>
      <x:c r="H29" s="18" t="str">
        <x:v>Controls + Registry</x:v>
      </x:c>
      <x:c r="I29" s="22" t="str">
        <x:v>Not started</x:v>
      </x:c>
      <x:c r="J29" s="18" t="str"/>
      <x:c r="K29" s="18" t="str"/>
      <x:c r="L29" s="18" t="str"/>
    </x:row>
    <x:row r="30" ht="120" customHeight="1">
      <x:c r="A30" s="18" t="str">
        <x:v>R26</x:v>
      </x:c>
      <x:c r="B30" s="18" t="str">
        <x:v>P0</x:v>
      </x:c>
      <x:c r="C30" s="18" t="str">
        <x:v>D + I
A/V header; conflicts C01–C07</x:v>
      </x:c>
      <x:c r="D30" s="18" t="str">
        <x:v>Version strings do not uniquely identify behavior</x:v>
      </x:c>
      <x:c r="E30" s="18" t="str">
        <x:v>Same version labels describe different sources.</x:v>
      </x:c>
      <x:c r="F30" s="18" t="str">
        <x:v>Stamp source commit, jar hash, contract version, method version, bundle hash, context revision and dataset/evidence hash.</x:v>
      </x:c>
      <x:c r="G30" s="18" t="str">
        <x:v>Identically labeled versions cannot be mistaken for identical reproducible calculations.</x:v>
      </x:c>
      <x:c r="H30" s="18" t="str">
        <x:v>Platform + QA</x:v>
      </x:c>
      <x:c r="I30" s="22" t="str">
        <x:v>Not started</x:v>
      </x:c>
      <x:c r="J30" s="18" t="str"/>
      <x:c r="K30" s="18" t="str"/>
      <x:c r="L30" s="18" t="str"/>
    </x:row>
  </x:sheetData>
  <x:mergeCells>
    <x:mergeCell ref="A1:L1"/>
    <x:mergeCell ref="A2:L2"/>
  </x:mergeCells>
  <x:conditionalFormatting sqref="I5:I30">
    <x:cfRule type="expression" dxfId="0" priority="1">
      <x:formula>I5="Accepted"</x:formula>
    </x:cfRule>
  </x:conditionalFormatting>
  <x:dataValidations count="2">
    <x:dataValidation type="list" sqref="I5:I30">
      <x:formula1>"Not started,In progress,Implemented,Validation pending,Accepted,Blocked"</x:formula1>
    </x:dataValidation>
    <x:dataValidation type="list" sqref="B5:B3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105232435864d3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9" hidden="0" customWidth="1"/>
    <x:col min="3" max="3" width="38" hidden="0" customWidth="1"/>
    <x:col min="4" max="4" width="16" hidden="0" customWidth="1"/>
    <x:col min="5" max="5" width="23" hidden="0" customWidth="1"/>
    <x:col min="6" max="6" width="23" hidden="0" customWidth="1"/>
    <x:col min="7" max="7" width="34" hidden="0" customWidth="1"/>
    <x:col min="8" max="8" width="24" hidden="0" customWidth="1"/>
    <x:col min="9" max="9" width="40" hidden="0" customWidth="1"/>
    <x:col min="10" max="10" width="38" hidden="0" customWidth="1"/>
    <x:col min="11" max="11" width="23" hidden="0" customWidth="1"/>
  </x:cols>
  <x:sheetData>
    <x:row r="1" ht="32" customHeight="1">
      <x:c r="A1" s="3" t="str">
        <x:v>165 PROPOSED GATE PROPERTIES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6" customHeight="1">
      <x:c r="A2" s="7" t="str">
        <x:v>Typed specification, not implemented runtime coverage. Starting values are proposals. Missing objectives and source integrity cannot be overridden.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0" customHeight="1">
      <x:c r="A4" s="12" t="str">
        <x:v>ID</x:v>
      </x:c>
      <x:c r="B4" s="12" t="str">
        <x:v>Gate</x:v>
      </x:c>
      <x:c r="C4" s="12" t="str">
        <x:v>Property</x:v>
      </x:c>
      <x:c r="D4" s="12" t="str">
        <x:v>Type</x:v>
      </x:c>
      <x:c r="E4" s="12" t="str">
        <x:v>Unit</x:v>
      </x:c>
      <x:c r="F4" s="12" t="str">
        <x:v>Starting value</x:v>
      </x:c>
      <x:c r="G4" s="12" t="str">
        <x:v>Validation</x:v>
      </x:c>
      <x:c r="H4" s="12" t="str">
        <x:v>Change class</x:v>
      </x:c>
      <x:c r="I4" s="12" t="str">
        <x:v>Effect</x:v>
      </x:c>
      <x:c r="J4" s="12" t="str">
        <x:v>Runtime evidence</x:v>
      </x:c>
      <x:c r="K4" s="12" t="str">
        <x:v>Status</x:v>
      </x:c>
    </x:row>
    <x:row r="5" ht="84" customHeight="1">
      <x:c r="A5" s="18" t="str">
        <x:v>CFG-001</x:v>
      </x:c>
      <x:c r="B5" s="18" t="str">
        <x:v>G0</x:v>
      </x:c>
      <x:c r="C5" s="18" t="str">
        <x:v>G0.mode</x:v>
      </x:c>
      <x:c r="D5" s="18" t="str">
        <x:v>enum</x:v>
      </x:c>
      <x:c r="E5" s="18" t="str">
        <x:v>state</x:v>
      </x:c>
      <x:c r="F5" s="18" t="str">
        <x:v>OPERATIONAL</x:v>
      </x:c>
      <x:c r="G5" s="18" t="str">
        <x:v>["OPERATIONAL", "OBSERVE_ONLY", "SHADOW", "DISABLED"]</x:v>
      </x:c>
      <x:c r="H5" s="18" t="str">
        <x:v>POLICY</x:v>
      </x:c>
      <x:c r="I5" s="18" t="str">
        <x:v>Diagnostic execution mode; required eligibility checks remain enforced even if display/optional method disabled</x:v>
      </x:c>
      <x:c r="J5" s="22" t="str"/>
      <x:c r="K5" s="22" t="str">
        <x:v>Not assessed</x:v>
      </x:c>
    </x:row>
    <x:row r="6" ht="84" customHeight="1">
      <x:c r="A6" s="18" t="str">
        <x:v>CFG-002</x:v>
      </x:c>
      <x:c r="B6" s="18" t="str">
        <x:v>G0</x:v>
      </x:c>
      <x:c r="C6" s="18" t="str">
        <x:v>G0.role</x:v>
      </x:c>
      <x:c r="D6" s="18" t="str">
        <x:v>enum</x:v>
      </x:c>
      <x:c r="E6" s="18" t="str">
        <x:v>role</x:v>
      </x:c>
      <x:c r="F6" s="18" t="str">
        <x:v>REQUIRED_CONTEXT</x:v>
      </x:c>
      <x:c r="G6" s="18" t="str">
        <x:v>["REQUIRED_CONTEXT", "PRIMARY", "SUPPORTING", "DISPLAY_ONLY", "INAPPLICABLE"]</x:v>
      </x:c>
      <x:c r="H6" s="18" t="str">
        <x:v>POLICY</x:v>
      </x:c>
      <x:c r="I6" s="18" t="str">
        <x:v>Validated method/profile restricts allowed role; no role can permit unsupported confirmation</x:v>
      </x:c>
      <x:c r="J6" s="22" t="str"/>
      <x:c r="K6" s="22" t="str">
        <x:v>Not assessed</x:v>
      </x:c>
    </x:row>
    <x:row r="7" ht="84" customHeight="1">
      <x:c r="A7" s="18" t="str">
        <x:v>CFG-003</x:v>
      </x:c>
      <x:c r="B7" s="18" t="str">
        <x:v>G0</x:v>
      </x:c>
      <x:c r="C7" s="18" t="str">
        <x:v>G0.evidence_retention_days</x:v>
      </x:c>
      <x:c r="D7" s="18" t="str">
        <x:v>integer</x:v>
      </x:c>
      <x:c r="E7" s="18" t="str">
        <x:v>day</x:v>
      </x:c>
      <x:c r="F7" s="18" t="str">
        <x:v>Commissioning required</x:v>
      </x:c>
      <x:c r="G7" s="18" t="str">
        <x:v>{"minimum": 1, "maximum": 3650}</x:v>
      </x:c>
      <x:c r="H7" s="18" t="str">
        <x:v>POLICY</x:v>
      </x:c>
      <x:c r="I7" s="18" t="str">
        <x:v>Commissioned retention within site capacity/legal policy; pinned case evidence survives ordinary expiry</x:v>
      </x:c>
      <x:c r="J7" s="22" t="str"/>
      <x:c r="K7" s="22" t="str">
        <x:v>Not assessed</x:v>
      </x:c>
    </x:row>
    <x:row r="8" ht="84" customHeight="1">
      <x:c r="A8" s="18" t="str">
        <x:v>CFG-004</x:v>
      </x:c>
      <x:c r="B8" s="18" t="str">
        <x:v>G1</x:v>
      </x:c>
      <x:c r="C8" s="18" t="str">
        <x:v>G1.mode</x:v>
      </x:c>
      <x:c r="D8" s="18" t="str">
        <x:v>enum</x:v>
      </x:c>
      <x:c r="E8" s="18" t="str">
        <x:v>state</x:v>
      </x:c>
      <x:c r="F8" s="18" t="str">
        <x:v>OPERATIONAL</x:v>
      </x:c>
      <x:c r="G8" s="18" t="str">
        <x:v>["OPERATIONAL", "OBSERVE_ONLY", "SHADOW", "DISABLED"]</x:v>
      </x:c>
      <x:c r="H8" s="18" t="str">
        <x:v>POLICY</x:v>
      </x:c>
      <x:c r="I8" s="18" t="str">
        <x:v>Diagnostic execution mode; required eligibility checks remain enforced even if display/optional method disabled</x:v>
      </x:c>
      <x:c r="J8" s="22" t="str"/>
      <x:c r="K8" s="22" t="str">
        <x:v>Not assessed</x:v>
      </x:c>
    </x:row>
    <x:row r="9" ht="84" customHeight="1">
      <x:c r="A9" s="18" t="str">
        <x:v>CFG-005</x:v>
      </x:c>
      <x:c r="B9" s="18" t="str">
        <x:v>G1</x:v>
      </x:c>
      <x:c r="C9" s="18" t="str">
        <x:v>G1.role</x:v>
      </x:c>
      <x:c r="D9" s="18" t="str">
        <x:v>enum</x:v>
      </x:c>
      <x:c r="E9" s="18" t="str">
        <x:v>role</x:v>
      </x:c>
      <x:c r="F9" s="18" t="str">
        <x:v>REQUIRED_CONTEXT</x:v>
      </x:c>
      <x:c r="G9" s="18" t="str">
        <x:v>["REQUIRED_CONTEXT", "PRIMARY", "SUPPORTING", "DISPLAY_ONLY", "INAPPLICABLE"]</x:v>
      </x:c>
      <x:c r="H9" s="18" t="str">
        <x:v>POLICY</x:v>
      </x:c>
      <x:c r="I9" s="18" t="str">
        <x:v>Validated method/profile restricts allowed role; no role can permit unsupported confirmation</x:v>
      </x:c>
      <x:c r="J9" s="22" t="str"/>
      <x:c r="K9" s="22" t="str">
        <x:v>Not assessed</x:v>
      </x:c>
    </x:row>
    <x:row r="10" ht="84" customHeight="1">
      <x:c r="A10" s="18" t="str">
        <x:v>CFG-006</x:v>
      </x:c>
      <x:c r="B10" s="18" t="str">
        <x:v>G1</x:v>
      </x:c>
      <x:c r="C10" s="18" t="str">
        <x:v>G1.evidence_retention_days</x:v>
      </x:c>
      <x:c r="D10" s="18" t="str">
        <x:v>integer</x:v>
      </x:c>
      <x:c r="E10" s="18" t="str">
        <x:v>day</x:v>
      </x:c>
      <x:c r="F10" s="18" t="str">
        <x:v>Commissioning required</x:v>
      </x:c>
      <x:c r="G10" s="18" t="str">
        <x:v>{"minimum": 1, "maximum": 3650}</x:v>
      </x:c>
      <x:c r="H10" s="18" t="str">
        <x:v>POLICY</x:v>
      </x:c>
      <x:c r="I10" s="18" t="str">
        <x:v>Commissioned retention within site capacity/legal policy; pinned case evidence survives ordinary expiry</x:v>
      </x:c>
      <x:c r="J10" s="22" t="str"/>
      <x:c r="K10" s="22" t="str">
        <x:v>Not assessed</x:v>
      </x:c>
    </x:row>
    <x:row r="11" ht="84" customHeight="1">
      <x:c r="A11" s="18" t="str">
        <x:v>CFG-007</x:v>
      </x:c>
      <x:c r="B11" s="18" t="str">
        <x:v>G2</x:v>
      </x:c>
      <x:c r="C11" s="18" t="str">
        <x:v>G2.mode</x:v>
      </x:c>
      <x:c r="D11" s="18" t="str">
        <x:v>enum</x:v>
      </x:c>
      <x:c r="E11" s="18" t="str">
        <x:v>state</x:v>
      </x:c>
      <x:c r="F11" s="18" t="str">
        <x:v>OPERATIONAL</x:v>
      </x:c>
      <x:c r="G11" s="18" t="str">
        <x:v>["OPERATIONAL", "OBSERVE_ONLY", "SHADOW", "DISABLED"]</x:v>
      </x:c>
      <x:c r="H11" s="18" t="str">
        <x:v>POLICY</x:v>
      </x:c>
      <x:c r="I11" s="18" t="str">
        <x:v>Diagnostic execution mode; required eligibility checks remain enforced even if display/optional method disabled</x:v>
      </x:c>
      <x:c r="J11" s="22" t="str"/>
      <x:c r="K11" s="22" t="str">
        <x:v>Not assessed</x:v>
      </x:c>
    </x:row>
    <x:row r="12" ht="84" customHeight="1">
      <x:c r="A12" s="18" t="str">
        <x:v>CFG-008</x:v>
      </x:c>
      <x:c r="B12" s="18" t="str">
        <x:v>G2</x:v>
      </x:c>
      <x:c r="C12" s="18" t="str">
        <x:v>G2.role</x:v>
      </x:c>
      <x:c r="D12" s="18" t="str">
        <x:v>enum</x:v>
      </x:c>
      <x:c r="E12" s="18" t="str">
        <x:v>role</x:v>
      </x:c>
      <x:c r="F12" s="18" t="str">
        <x:v>SUPPORTING</x:v>
      </x:c>
      <x:c r="G12" s="18" t="str">
        <x:v>["REQUIRED_CONTEXT", "PRIMARY", "SUPPORTING", "DISPLAY_ONLY", "INAPPLICABLE"]</x:v>
      </x:c>
      <x:c r="H12" s="18" t="str">
        <x:v>POLICY</x:v>
      </x:c>
      <x:c r="I12" s="18" t="str">
        <x:v>Validated method/profile restricts allowed role; no role can permit unsupported confirmation</x:v>
      </x:c>
      <x:c r="J12" s="22" t="str"/>
      <x:c r="K12" s="22" t="str">
        <x:v>Not assessed</x:v>
      </x:c>
    </x:row>
    <x:row r="13" ht="84" customHeight="1">
      <x:c r="A13" s="18" t="str">
        <x:v>CFG-009</x:v>
      </x:c>
      <x:c r="B13" s="18" t="str">
        <x:v>G2</x:v>
      </x:c>
      <x:c r="C13" s="18" t="str">
        <x:v>G2.evidence_retention_days</x:v>
      </x:c>
      <x:c r="D13" s="18" t="str">
        <x:v>integer</x:v>
      </x:c>
      <x:c r="E13" s="18" t="str">
        <x:v>day</x:v>
      </x:c>
      <x:c r="F13" s="18" t="str">
        <x:v>Commissioning required</x:v>
      </x:c>
      <x:c r="G13" s="18" t="str">
        <x:v>{"minimum": 1, "maximum": 3650}</x:v>
      </x:c>
      <x:c r="H13" s="18" t="str">
        <x:v>POLICY</x:v>
      </x:c>
      <x:c r="I13" s="18" t="str">
        <x:v>Commissioned retention within site capacity/legal policy; pinned case evidence survives ordinary expiry</x:v>
      </x:c>
      <x:c r="J13" s="22" t="str"/>
      <x:c r="K13" s="22" t="str">
        <x:v>Not assessed</x:v>
      </x:c>
    </x:row>
    <x:row r="14" ht="84" customHeight="1">
      <x:c r="A14" s="18" t="str">
        <x:v>CFG-010</x:v>
      </x:c>
      <x:c r="B14" s="18" t="str">
        <x:v>G2r</x:v>
      </x:c>
      <x:c r="C14" s="18" t="str">
        <x:v>G2r.mode</x:v>
      </x:c>
      <x:c r="D14" s="18" t="str">
        <x:v>enum</x:v>
      </x:c>
      <x:c r="E14" s="18" t="str">
        <x:v>state</x:v>
      </x:c>
      <x:c r="F14" s="18" t="str">
        <x:v>OPERATIONAL</x:v>
      </x:c>
      <x:c r="G14" s="18" t="str">
        <x:v>["OPERATIONAL", "OBSERVE_ONLY", "SHADOW", "DISABLED"]</x:v>
      </x:c>
      <x:c r="H14" s="18" t="str">
        <x:v>POLICY</x:v>
      </x:c>
      <x:c r="I14" s="18" t="str">
        <x:v>Diagnostic execution mode; required eligibility checks remain enforced even if display/optional method disabled</x:v>
      </x:c>
      <x:c r="J14" s="22" t="str"/>
      <x:c r="K14" s="22" t="str">
        <x:v>Not assessed</x:v>
      </x:c>
    </x:row>
    <x:row r="15" ht="84" customHeight="1">
      <x:c r="A15" s="18" t="str">
        <x:v>CFG-011</x:v>
      </x:c>
      <x:c r="B15" s="18" t="str">
        <x:v>G2r</x:v>
      </x:c>
      <x:c r="C15" s="18" t="str">
        <x:v>G2r.role</x:v>
      </x:c>
      <x:c r="D15" s="18" t="str">
        <x:v>enum</x:v>
      </x:c>
      <x:c r="E15" s="18" t="str">
        <x:v>role</x:v>
      </x:c>
      <x:c r="F15" s="18" t="str">
        <x:v>REQUIRED_CONTEXT</x:v>
      </x:c>
      <x:c r="G15" s="18" t="str">
        <x:v>["REQUIRED_CONTEXT", "PRIMARY", "SUPPORTING", "DISPLAY_ONLY", "INAPPLICABLE"]</x:v>
      </x:c>
      <x:c r="H15" s="18" t="str">
        <x:v>POLICY</x:v>
      </x:c>
      <x:c r="I15" s="18" t="str">
        <x:v>Validated method/profile restricts allowed role; no role can permit unsupported confirmation</x:v>
      </x:c>
      <x:c r="J15" s="22" t="str"/>
      <x:c r="K15" s="22" t="str">
        <x:v>Not assessed</x:v>
      </x:c>
    </x:row>
    <x:row r="16" ht="84" customHeight="1">
      <x:c r="A16" s="18" t="str">
        <x:v>CFG-012</x:v>
      </x:c>
      <x:c r="B16" s="18" t="str">
        <x:v>G2r</x:v>
      </x:c>
      <x:c r="C16" s="18" t="str">
        <x:v>G2r.evidence_retention_days</x:v>
      </x:c>
      <x:c r="D16" s="18" t="str">
        <x:v>integer</x:v>
      </x:c>
      <x:c r="E16" s="18" t="str">
        <x:v>day</x:v>
      </x:c>
      <x:c r="F16" s="18" t="str">
        <x:v>Commissioning required</x:v>
      </x:c>
      <x:c r="G16" s="18" t="str">
        <x:v>{"minimum": 1, "maximum": 3650}</x:v>
      </x:c>
      <x:c r="H16" s="18" t="str">
        <x:v>POLICY</x:v>
      </x:c>
      <x:c r="I16" s="18" t="str">
        <x:v>Commissioned retention within site capacity/legal policy; pinned case evidence survives ordinary expiry</x:v>
      </x:c>
      <x:c r="J16" s="22" t="str"/>
      <x:c r="K16" s="22" t="str">
        <x:v>Not assessed</x:v>
      </x:c>
    </x:row>
    <x:row r="17" ht="84" customHeight="1">
      <x:c r="A17" s="18" t="str">
        <x:v>CFG-013</x:v>
      </x:c>
      <x:c r="B17" s="18" t="str">
        <x:v>G3</x:v>
      </x:c>
      <x:c r="C17" s="18" t="str">
        <x:v>G3.mode</x:v>
      </x:c>
      <x:c r="D17" s="18" t="str">
        <x:v>enum</x:v>
      </x:c>
      <x:c r="E17" s="18" t="str">
        <x:v>state</x:v>
      </x:c>
      <x:c r="F17" s="18" t="str">
        <x:v>OPERATIONAL</x:v>
      </x:c>
      <x:c r="G17" s="18" t="str">
        <x:v>["OPERATIONAL", "OBSERVE_ONLY", "SHADOW", "DISABLED"]</x:v>
      </x:c>
      <x:c r="H17" s="18" t="str">
        <x:v>POLICY</x:v>
      </x:c>
      <x:c r="I17" s="18" t="str">
        <x:v>Diagnostic execution mode; required eligibility checks remain enforced even if display/optional method disabled</x:v>
      </x:c>
      <x:c r="J17" s="22" t="str"/>
      <x:c r="K17" s="22" t="str">
        <x:v>Not assessed</x:v>
      </x:c>
    </x:row>
    <x:row r="18" ht="84" customHeight="1">
      <x:c r="A18" s="18" t="str">
        <x:v>CFG-014</x:v>
      </x:c>
      <x:c r="B18" s="18" t="str">
        <x:v>G3</x:v>
      </x:c>
      <x:c r="C18" s="18" t="str">
        <x:v>G3.role</x:v>
      </x:c>
      <x:c r="D18" s="18" t="str">
        <x:v>enum</x:v>
      </x:c>
      <x:c r="E18" s="18" t="str">
        <x:v>role</x:v>
      </x:c>
      <x:c r="F18" s="18" t="str">
        <x:v>SUPPORTING</x:v>
      </x:c>
      <x:c r="G18" s="18" t="str">
        <x:v>["REQUIRED_CONTEXT", "PRIMARY", "SUPPORTING", "DISPLAY_ONLY", "INAPPLICABLE"]</x:v>
      </x:c>
      <x:c r="H18" s="18" t="str">
        <x:v>POLICY</x:v>
      </x:c>
      <x:c r="I18" s="18" t="str">
        <x:v>Validated method/profile restricts allowed role; no role can permit unsupported confirmation</x:v>
      </x:c>
      <x:c r="J18" s="22" t="str"/>
      <x:c r="K18" s="22" t="str">
        <x:v>Not assessed</x:v>
      </x:c>
    </x:row>
    <x:row r="19" ht="84" customHeight="1">
      <x:c r="A19" s="18" t="str">
        <x:v>CFG-015</x:v>
      </x:c>
      <x:c r="B19" s="18" t="str">
        <x:v>G3</x:v>
      </x:c>
      <x:c r="C19" s="18" t="str">
        <x:v>G3.evidence_retention_days</x:v>
      </x:c>
      <x:c r="D19" s="18" t="str">
        <x:v>integer</x:v>
      </x:c>
      <x:c r="E19" s="18" t="str">
        <x:v>day</x:v>
      </x:c>
      <x:c r="F19" s="18" t="str">
        <x:v>Commissioning required</x:v>
      </x:c>
      <x:c r="G19" s="18" t="str">
        <x:v>{"minimum": 1, "maximum": 3650}</x:v>
      </x:c>
      <x:c r="H19" s="18" t="str">
        <x:v>POLICY</x:v>
      </x:c>
      <x:c r="I19" s="18" t="str">
        <x:v>Commissioned retention within site capacity/legal policy; pinned case evidence survives ordinary expiry</x:v>
      </x:c>
      <x:c r="J19" s="22" t="str"/>
      <x:c r="K19" s="22" t="str">
        <x:v>Not assessed</x:v>
      </x:c>
    </x:row>
    <x:row r="20" ht="84" customHeight="1">
      <x:c r="A20" s="18" t="str">
        <x:v>CFG-016</x:v>
      </x:c>
      <x:c r="B20" s="18" t="str">
        <x:v>G4</x:v>
      </x:c>
      <x:c r="C20" s="18" t="str">
        <x:v>G4.mode</x:v>
      </x:c>
      <x:c r="D20" s="18" t="str">
        <x:v>enum</x:v>
      </x:c>
      <x:c r="E20" s="18" t="str">
        <x:v>state</x:v>
      </x:c>
      <x:c r="F20" s="18" t="str">
        <x:v>OPERATIONAL</x:v>
      </x:c>
      <x:c r="G20" s="18" t="str">
        <x:v>["OPERATIONAL", "OBSERVE_ONLY", "SHADOW", "DISABLED"]</x:v>
      </x:c>
      <x:c r="H20" s="18" t="str">
        <x:v>POLICY</x:v>
      </x:c>
      <x:c r="I20" s="18" t="str">
        <x:v>Diagnostic execution mode; required eligibility checks remain enforced even if display/optional method disabled</x:v>
      </x:c>
      <x:c r="J20" s="22" t="str"/>
      <x:c r="K20" s="22" t="str">
        <x:v>Not assessed</x:v>
      </x:c>
    </x:row>
    <x:row r="21" ht="84" customHeight="1">
      <x:c r="A21" s="18" t="str">
        <x:v>CFG-017</x:v>
      </x:c>
      <x:c r="B21" s="18" t="str">
        <x:v>G4</x:v>
      </x:c>
      <x:c r="C21" s="18" t="str">
        <x:v>G4.role</x:v>
      </x:c>
      <x:c r="D21" s="18" t="str">
        <x:v>enum</x:v>
      </x:c>
      <x:c r="E21" s="18" t="str">
        <x:v>role</x:v>
      </x:c>
      <x:c r="F21" s="18" t="str">
        <x:v>SUPPORTING</x:v>
      </x:c>
      <x:c r="G21" s="18" t="str">
        <x:v>["REQUIRED_CONTEXT", "PRIMARY", "SUPPORTING", "DISPLAY_ONLY", "INAPPLICABLE"]</x:v>
      </x:c>
      <x:c r="H21" s="18" t="str">
        <x:v>POLICY</x:v>
      </x:c>
      <x:c r="I21" s="18" t="str">
        <x:v>Validated method/profile restricts allowed role; no role can permit unsupported confirmation</x:v>
      </x:c>
      <x:c r="J21" s="22" t="str"/>
      <x:c r="K21" s="22" t="str">
        <x:v>Not assessed</x:v>
      </x:c>
    </x:row>
    <x:row r="22" ht="84" customHeight="1">
      <x:c r="A22" s="18" t="str">
        <x:v>CFG-018</x:v>
      </x:c>
      <x:c r="B22" s="18" t="str">
        <x:v>G4</x:v>
      </x:c>
      <x:c r="C22" s="18" t="str">
        <x:v>G4.evidence_retention_days</x:v>
      </x:c>
      <x:c r="D22" s="18" t="str">
        <x:v>integer</x:v>
      </x:c>
      <x:c r="E22" s="18" t="str">
        <x:v>day</x:v>
      </x:c>
      <x:c r="F22" s="18" t="str">
        <x:v>Commissioning required</x:v>
      </x:c>
      <x:c r="G22" s="18" t="str">
        <x:v>{"minimum": 1, "maximum": 3650}</x:v>
      </x:c>
      <x:c r="H22" s="18" t="str">
        <x:v>POLICY</x:v>
      </x:c>
      <x:c r="I22" s="18" t="str">
        <x:v>Commissioned retention within site capacity/legal policy; pinned case evidence survives ordinary expiry</x:v>
      </x:c>
      <x:c r="J22" s="22" t="str"/>
      <x:c r="K22" s="22" t="str">
        <x:v>Not assessed</x:v>
      </x:c>
    </x:row>
    <x:row r="23" ht="84" customHeight="1">
      <x:c r="A23" s="18" t="str">
        <x:v>CFG-019</x:v>
      </x:c>
      <x:c r="B23" s="18" t="str">
        <x:v>G5</x:v>
      </x:c>
      <x:c r="C23" s="18" t="str">
        <x:v>G5.mode</x:v>
      </x:c>
      <x:c r="D23" s="18" t="str">
        <x:v>enum</x:v>
      </x:c>
      <x:c r="E23" s="18" t="str">
        <x:v>state</x:v>
      </x:c>
      <x:c r="F23" s="18" t="str">
        <x:v>OPERATIONAL</x:v>
      </x:c>
      <x:c r="G23" s="18" t="str">
        <x:v>["OPERATIONAL", "OBSERVE_ONLY", "SHADOW", "DISABLED"]</x:v>
      </x:c>
      <x:c r="H23" s="18" t="str">
        <x:v>POLICY</x:v>
      </x:c>
      <x:c r="I23" s="18" t="str">
        <x:v>Diagnostic execution mode; required eligibility checks remain enforced even if display/optional method disabled</x:v>
      </x:c>
      <x:c r="J23" s="22" t="str"/>
      <x:c r="K23" s="22" t="str">
        <x:v>Not assessed</x:v>
      </x:c>
    </x:row>
    <x:row r="24" ht="84" customHeight="1">
      <x:c r="A24" s="18" t="str">
        <x:v>CFG-020</x:v>
      </x:c>
      <x:c r="B24" s="18" t="str">
        <x:v>G5</x:v>
      </x:c>
      <x:c r="C24" s="18" t="str">
        <x:v>G5.role</x:v>
      </x:c>
      <x:c r="D24" s="18" t="str">
        <x:v>enum</x:v>
      </x:c>
      <x:c r="E24" s="18" t="str">
        <x:v>role</x:v>
      </x:c>
      <x:c r="F24" s="18" t="str">
        <x:v>SUPPORTING</x:v>
      </x:c>
      <x:c r="G24" s="18" t="str">
        <x:v>["REQUIRED_CONTEXT", "PRIMARY", "SUPPORTING", "DISPLAY_ONLY", "INAPPLICABLE"]</x:v>
      </x:c>
      <x:c r="H24" s="18" t="str">
        <x:v>POLICY</x:v>
      </x:c>
      <x:c r="I24" s="18" t="str">
        <x:v>Validated method/profile restricts allowed role; no role can permit unsupported confirmation</x:v>
      </x:c>
      <x:c r="J24" s="22" t="str"/>
      <x:c r="K24" s="22" t="str">
        <x:v>Not assessed</x:v>
      </x:c>
    </x:row>
    <x:row r="25" ht="84" customHeight="1">
      <x:c r="A25" s="18" t="str">
        <x:v>CFG-021</x:v>
      </x:c>
      <x:c r="B25" s="18" t="str">
        <x:v>G5</x:v>
      </x:c>
      <x:c r="C25" s="18" t="str">
        <x:v>G5.evidence_retention_days</x:v>
      </x:c>
      <x:c r="D25" s="18" t="str">
        <x:v>integer</x:v>
      </x:c>
      <x:c r="E25" s="18" t="str">
        <x:v>day</x:v>
      </x:c>
      <x:c r="F25" s="18" t="str">
        <x:v>Commissioning required</x:v>
      </x:c>
      <x:c r="G25" s="18" t="str">
        <x:v>{"minimum": 1, "maximum": 3650}</x:v>
      </x:c>
      <x:c r="H25" s="18" t="str">
        <x:v>POLICY</x:v>
      </x:c>
      <x:c r="I25" s="18" t="str">
        <x:v>Commissioned retention within site capacity/legal policy; pinned case evidence survives ordinary expiry</x:v>
      </x:c>
      <x:c r="J25" s="22" t="str"/>
      <x:c r="K25" s="22" t="str">
        <x:v>Not assessed</x:v>
      </x:c>
    </x:row>
    <x:row r="26" ht="84" customHeight="1">
      <x:c r="A26" s="18" t="str">
        <x:v>CFG-022</x:v>
      </x:c>
      <x:c r="B26" s="18" t="str">
        <x:v>G6</x:v>
      </x:c>
      <x:c r="C26" s="18" t="str">
        <x:v>G6.mode</x:v>
      </x:c>
      <x:c r="D26" s="18" t="str">
        <x:v>enum</x:v>
      </x:c>
      <x:c r="E26" s="18" t="str">
        <x:v>state</x:v>
      </x:c>
      <x:c r="F26" s="18" t="str">
        <x:v>OPERATIONAL</x:v>
      </x:c>
      <x:c r="G26" s="18" t="str">
        <x:v>["OPERATIONAL", "OBSERVE_ONLY", "SHADOW", "DISABLED"]</x:v>
      </x:c>
      <x:c r="H26" s="18" t="str">
        <x:v>POLICY</x:v>
      </x:c>
      <x:c r="I26" s="18" t="str">
        <x:v>Diagnostic execution mode; required eligibility checks remain enforced even if display/optional method disabled</x:v>
      </x:c>
      <x:c r="J26" s="22" t="str"/>
      <x:c r="K26" s="22" t="str">
        <x:v>Not assessed</x:v>
      </x:c>
    </x:row>
    <x:row r="27" ht="84" customHeight="1">
      <x:c r="A27" s="18" t="str">
        <x:v>CFG-023</x:v>
      </x:c>
      <x:c r="B27" s="18" t="str">
        <x:v>G6</x:v>
      </x:c>
      <x:c r="C27" s="18" t="str">
        <x:v>G6.role</x:v>
      </x:c>
      <x:c r="D27" s="18" t="str">
        <x:v>enum</x:v>
      </x:c>
      <x:c r="E27" s="18" t="str">
        <x:v>role</x:v>
      </x:c>
      <x:c r="F27" s="18" t="str">
        <x:v>SUPPORTING</x:v>
      </x:c>
      <x:c r="G27" s="18" t="str">
        <x:v>["REQUIRED_CONTEXT", "PRIMARY", "SUPPORTING", "DISPLAY_ONLY", "INAPPLICABLE"]</x:v>
      </x:c>
      <x:c r="H27" s="18" t="str">
        <x:v>POLICY</x:v>
      </x:c>
      <x:c r="I27" s="18" t="str">
        <x:v>Validated method/profile restricts allowed role; no role can permit unsupported confirmation</x:v>
      </x:c>
      <x:c r="J27" s="22" t="str"/>
      <x:c r="K27" s="22" t="str">
        <x:v>Not assessed</x:v>
      </x:c>
    </x:row>
    <x:row r="28" ht="84" customHeight="1">
      <x:c r="A28" s="18" t="str">
        <x:v>CFG-024</x:v>
      </x:c>
      <x:c r="B28" s="18" t="str">
        <x:v>G6</x:v>
      </x:c>
      <x:c r="C28" s="18" t="str">
        <x:v>G6.evidence_retention_days</x:v>
      </x:c>
      <x:c r="D28" s="18" t="str">
        <x:v>integer</x:v>
      </x:c>
      <x:c r="E28" s="18" t="str">
        <x:v>day</x:v>
      </x:c>
      <x:c r="F28" s="18" t="str">
        <x:v>Commissioning required</x:v>
      </x:c>
      <x:c r="G28" s="18" t="str">
        <x:v>{"minimum": 1, "maximum": 3650}</x:v>
      </x:c>
      <x:c r="H28" s="18" t="str">
        <x:v>POLICY</x:v>
      </x:c>
      <x:c r="I28" s="18" t="str">
        <x:v>Commissioned retention within site capacity/legal policy; pinned case evidence survives ordinary expiry</x:v>
      </x:c>
      <x:c r="J28" s="22" t="str"/>
      <x:c r="K28" s="22" t="str">
        <x:v>Not assessed</x:v>
      </x:c>
    </x:row>
    <x:row r="29" ht="84" customHeight="1">
      <x:c r="A29" s="18" t="str">
        <x:v>CFG-025</x:v>
      </x:c>
      <x:c r="B29" s="18" t="str">
        <x:v>G7</x:v>
      </x:c>
      <x:c r="C29" s="18" t="str">
        <x:v>G7.mode</x:v>
      </x:c>
      <x:c r="D29" s="18" t="str">
        <x:v>enum</x:v>
      </x:c>
      <x:c r="E29" s="18" t="str">
        <x:v>state</x:v>
      </x:c>
      <x:c r="F29" s="18" t="str">
        <x:v>OPERATIONAL</x:v>
      </x:c>
      <x:c r="G29" s="18" t="str">
        <x:v>["OPERATIONAL", "OBSERVE_ONLY", "SHADOW", "DISABLED"]</x:v>
      </x:c>
      <x:c r="H29" s="18" t="str">
        <x:v>POLICY</x:v>
      </x:c>
      <x:c r="I29" s="18" t="str">
        <x:v>Diagnostic execution mode; required eligibility checks remain enforced even if display/optional method disabled</x:v>
      </x:c>
      <x:c r="J29" s="22" t="str"/>
      <x:c r="K29" s="22" t="str">
        <x:v>Not assessed</x:v>
      </x:c>
    </x:row>
    <x:row r="30" ht="84" customHeight="1">
      <x:c r="A30" s="18" t="str">
        <x:v>CFG-026</x:v>
      </x:c>
      <x:c r="B30" s="18" t="str">
        <x:v>G7</x:v>
      </x:c>
      <x:c r="C30" s="18" t="str">
        <x:v>G7.role</x:v>
      </x:c>
      <x:c r="D30" s="18" t="str">
        <x:v>enum</x:v>
      </x:c>
      <x:c r="E30" s="18" t="str">
        <x:v>role</x:v>
      </x:c>
      <x:c r="F30" s="18" t="str">
        <x:v>SUPPORTING</x:v>
      </x:c>
      <x:c r="G30" s="18" t="str">
        <x:v>["REQUIRED_CONTEXT", "PRIMARY", "SUPPORTING", "DISPLAY_ONLY", "INAPPLICABLE"]</x:v>
      </x:c>
      <x:c r="H30" s="18" t="str">
        <x:v>POLICY</x:v>
      </x:c>
      <x:c r="I30" s="18" t="str">
        <x:v>Validated method/profile restricts allowed role; no role can permit unsupported confirmation</x:v>
      </x:c>
      <x:c r="J30" s="22" t="str"/>
      <x:c r="K30" s="22" t="str">
        <x:v>Not assessed</x:v>
      </x:c>
    </x:row>
    <x:row r="31" ht="84" customHeight="1">
      <x:c r="A31" s="18" t="str">
        <x:v>CFG-027</x:v>
      </x:c>
      <x:c r="B31" s="18" t="str">
        <x:v>G7</x:v>
      </x:c>
      <x:c r="C31" s="18" t="str">
        <x:v>G7.evidence_retention_days</x:v>
      </x:c>
      <x:c r="D31" s="18" t="str">
        <x:v>integer</x:v>
      </x:c>
      <x:c r="E31" s="18" t="str">
        <x:v>day</x:v>
      </x:c>
      <x:c r="F31" s="18" t="str">
        <x:v>Commissioning required</x:v>
      </x:c>
      <x:c r="G31" s="18" t="str">
        <x:v>{"minimum": 1, "maximum": 3650}</x:v>
      </x:c>
      <x:c r="H31" s="18" t="str">
        <x:v>POLICY</x:v>
      </x:c>
      <x:c r="I31" s="18" t="str">
        <x:v>Commissioned retention within site capacity/legal policy; pinned case evidence survives ordinary expiry</x:v>
      </x:c>
      <x:c r="J31" s="22" t="str"/>
      <x:c r="K31" s="22" t="str">
        <x:v>Not assessed</x:v>
      </x:c>
    </x:row>
    <x:row r="32" ht="84" customHeight="1">
      <x:c r="A32" s="18" t="str">
        <x:v>CFG-028</x:v>
      </x:c>
      <x:c r="B32" s="18" t="str">
        <x:v>G8</x:v>
      </x:c>
      <x:c r="C32" s="18" t="str">
        <x:v>G8.mode</x:v>
      </x:c>
      <x:c r="D32" s="18" t="str">
        <x:v>enum</x:v>
      </x:c>
      <x:c r="E32" s="18" t="str">
        <x:v>state</x:v>
      </x:c>
      <x:c r="F32" s="18" t="str">
        <x:v>OPERATIONAL</x:v>
      </x:c>
      <x:c r="G32" s="18" t="str">
        <x:v>["OPERATIONAL", "OBSERVE_ONLY", "SHADOW", "DISABLED"]</x:v>
      </x:c>
      <x:c r="H32" s="18" t="str">
        <x:v>POLICY</x:v>
      </x:c>
      <x:c r="I32" s="18" t="str">
        <x:v>Diagnostic execution mode; required eligibility checks remain enforced even if display/optional method disabled</x:v>
      </x:c>
      <x:c r="J32" s="22" t="str"/>
      <x:c r="K32" s="22" t="str">
        <x:v>Not assessed</x:v>
      </x:c>
    </x:row>
    <x:row r="33" ht="84" customHeight="1">
      <x:c r="A33" s="18" t="str">
        <x:v>CFG-029</x:v>
      </x:c>
      <x:c r="B33" s="18" t="str">
        <x:v>G8</x:v>
      </x:c>
      <x:c r="C33" s="18" t="str">
        <x:v>G8.role</x:v>
      </x:c>
      <x:c r="D33" s="18" t="str">
        <x:v>enum</x:v>
      </x:c>
      <x:c r="E33" s="18" t="str">
        <x:v>role</x:v>
      </x:c>
      <x:c r="F33" s="18" t="str">
        <x:v>SUPPORTING</x:v>
      </x:c>
      <x:c r="G33" s="18" t="str">
        <x:v>["REQUIRED_CONTEXT", "PRIMARY", "SUPPORTING", "DISPLAY_ONLY", "INAPPLICABLE"]</x:v>
      </x:c>
      <x:c r="H33" s="18" t="str">
        <x:v>POLICY</x:v>
      </x:c>
      <x:c r="I33" s="18" t="str">
        <x:v>Validated method/profile restricts allowed role; no role can permit unsupported confirmation</x:v>
      </x:c>
      <x:c r="J33" s="22" t="str"/>
      <x:c r="K33" s="22" t="str">
        <x:v>Not assessed</x:v>
      </x:c>
    </x:row>
    <x:row r="34" ht="84" customHeight="1">
      <x:c r="A34" s="18" t="str">
        <x:v>CFG-030</x:v>
      </x:c>
      <x:c r="B34" s="18" t="str">
        <x:v>G8</x:v>
      </x:c>
      <x:c r="C34" s="18" t="str">
        <x:v>G8.evidence_retention_days</x:v>
      </x:c>
      <x:c r="D34" s="18" t="str">
        <x:v>integer</x:v>
      </x:c>
      <x:c r="E34" s="18" t="str">
        <x:v>day</x:v>
      </x:c>
      <x:c r="F34" s="18" t="str">
        <x:v>Commissioning required</x:v>
      </x:c>
      <x:c r="G34" s="18" t="str">
        <x:v>{"minimum": 1, "maximum": 3650}</x:v>
      </x:c>
      <x:c r="H34" s="18" t="str">
        <x:v>POLICY</x:v>
      </x:c>
      <x:c r="I34" s="18" t="str">
        <x:v>Commissioned retention within site capacity/legal policy; pinned case evidence survives ordinary expiry</x:v>
      </x:c>
      <x:c r="J34" s="22" t="str"/>
      <x:c r="K34" s="22" t="str">
        <x:v>Not assessed</x:v>
      </x:c>
    </x:row>
    <x:row r="35" ht="84" customHeight="1">
      <x:c r="A35" s="18" t="str">
        <x:v>CFG-031</x:v>
      </x:c>
      <x:c r="B35" s="18" t="str">
        <x:v>G9</x:v>
      </x:c>
      <x:c r="C35" s="18" t="str">
        <x:v>G9.mode</x:v>
      </x:c>
      <x:c r="D35" s="18" t="str">
        <x:v>enum</x:v>
      </x:c>
      <x:c r="E35" s="18" t="str">
        <x:v>state</x:v>
      </x:c>
      <x:c r="F35" s="18" t="str">
        <x:v>OPERATIONAL</x:v>
      </x:c>
      <x:c r="G35" s="18" t="str">
        <x:v>["OPERATIONAL", "OBSERVE_ONLY", "SHADOW", "DISABLED"]</x:v>
      </x:c>
      <x:c r="H35" s="18" t="str">
        <x:v>POLICY</x:v>
      </x:c>
      <x:c r="I35" s="18" t="str">
        <x:v>Diagnostic execution mode; required eligibility checks remain enforced even if display/optional method disabled</x:v>
      </x:c>
      <x:c r="J35" s="22" t="str"/>
      <x:c r="K35" s="22" t="str">
        <x:v>Not assessed</x:v>
      </x:c>
    </x:row>
    <x:row r="36" ht="84" customHeight="1">
      <x:c r="A36" s="18" t="str">
        <x:v>CFG-032</x:v>
      </x:c>
      <x:c r="B36" s="18" t="str">
        <x:v>G9</x:v>
      </x:c>
      <x:c r="C36" s="18" t="str">
        <x:v>G9.role</x:v>
      </x:c>
      <x:c r="D36" s="18" t="str">
        <x:v>enum</x:v>
      </x:c>
      <x:c r="E36" s="18" t="str">
        <x:v>role</x:v>
      </x:c>
      <x:c r="F36" s="18" t="str">
        <x:v>SUPPORTING</x:v>
      </x:c>
      <x:c r="G36" s="18" t="str">
        <x:v>["REQUIRED_CONTEXT", "PRIMARY", "SUPPORTING", "DISPLAY_ONLY", "INAPPLICABLE"]</x:v>
      </x:c>
      <x:c r="H36" s="18" t="str">
        <x:v>POLICY</x:v>
      </x:c>
      <x:c r="I36" s="18" t="str">
        <x:v>Validated method/profile restricts allowed role; no role can permit unsupported confirmation</x:v>
      </x:c>
      <x:c r="J36" s="22" t="str"/>
      <x:c r="K36" s="22" t="str">
        <x:v>Not assessed</x:v>
      </x:c>
    </x:row>
    <x:row r="37" ht="84" customHeight="1">
      <x:c r="A37" s="18" t="str">
        <x:v>CFG-033</x:v>
      </x:c>
      <x:c r="B37" s="18" t="str">
        <x:v>G9</x:v>
      </x:c>
      <x:c r="C37" s="18" t="str">
        <x:v>G9.evidence_retention_days</x:v>
      </x:c>
      <x:c r="D37" s="18" t="str">
        <x:v>integer</x:v>
      </x:c>
      <x:c r="E37" s="18" t="str">
        <x:v>day</x:v>
      </x:c>
      <x:c r="F37" s="18" t="str">
        <x:v>Commissioning required</x:v>
      </x:c>
      <x:c r="G37" s="18" t="str">
        <x:v>{"minimum": 1, "maximum": 3650}</x:v>
      </x:c>
      <x:c r="H37" s="18" t="str">
        <x:v>POLICY</x:v>
      </x:c>
      <x:c r="I37" s="18" t="str">
        <x:v>Commissioned retention within site capacity/legal policy; pinned case evidence survives ordinary expiry</x:v>
      </x:c>
      <x:c r="J37" s="22" t="str"/>
      <x:c r="K37" s="22" t="str">
        <x:v>Not assessed</x:v>
      </x:c>
    </x:row>
    <x:row r="38" ht="84" customHeight="1">
      <x:c r="A38" s="18" t="str">
        <x:v>CFG-034</x:v>
      </x:c>
      <x:c r="B38" s="18" t="str">
        <x:v>G10</x:v>
      </x:c>
      <x:c r="C38" s="18" t="str">
        <x:v>G10.mode</x:v>
      </x:c>
      <x:c r="D38" s="18" t="str">
        <x:v>enum</x:v>
      </x:c>
      <x:c r="E38" s="18" t="str">
        <x:v>state</x:v>
      </x:c>
      <x:c r="F38" s="18" t="str">
        <x:v>OPERATIONAL</x:v>
      </x:c>
      <x:c r="G38" s="18" t="str">
        <x:v>["OPERATIONAL", "OBSERVE_ONLY", "SHADOW", "DISABLED"]</x:v>
      </x:c>
      <x:c r="H38" s="18" t="str">
        <x:v>POLICY</x:v>
      </x:c>
      <x:c r="I38" s="18" t="str">
        <x:v>Diagnostic execution mode; required eligibility checks remain enforced even if display/optional method disabled</x:v>
      </x:c>
      <x:c r="J38" s="22" t="str"/>
      <x:c r="K38" s="22" t="str">
        <x:v>Not assessed</x:v>
      </x:c>
    </x:row>
    <x:row r="39" ht="84" customHeight="1">
      <x:c r="A39" s="18" t="str">
        <x:v>CFG-035</x:v>
      </x:c>
      <x:c r="B39" s="18" t="str">
        <x:v>G10</x:v>
      </x:c>
      <x:c r="C39" s="18" t="str">
        <x:v>G10.role</x:v>
      </x:c>
      <x:c r="D39" s="18" t="str">
        <x:v>enum</x:v>
      </x:c>
      <x:c r="E39" s="18" t="str">
        <x:v>role</x:v>
      </x:c>
      <x:c r="F39" s="18" t="str">
        <x:v>SUPPORTING</x:v>
      </x:c>
      <x:c r="G39" s="18" t="str">
        <x:v>["REQUIRED_CONTEXT", "PRIMARY", "SUPPORTING", "DISPLAY_ONLY", "INAPPLICABLE"]</x:v>
      </x:c>
      <x:c r="H39" s="18" t="str">
        <x:v>POLICY</x:v>
      </x:c>
      <x:c r="I39" s="18" t="str">
        <x:v>Validated method/profile restricts allowed role; no role can permit unsupported confirmation</x:v>
      </x:c>
      <x:c r="J39" s="22" t="str"/>
      <x:c r="K39" s="22" t="str">
        <x:v>Not assessed</x:v>
      </x:c>
    </x:row>
    <x:row r="40" ht="84" customHeight="1">
      <x:c r="A40" s="18" t="str">
        <x:v>CFG-036</x:v>
      </x:c>
      <x:c r="B40" s="18" t="str">
        <x:v>G10</x:v>
      </x:c>
      <x:c r="C40" s="18" t="str">
        <x:v>G10.evidence_retention_days</x:v>
      </x:c>
      <x:c r="D40" s="18" t="str">
        <x:v>integer</x:v>
      </x:c>
      <x:c r="E40" s="18" t="str">
        <x:v>day</x:v>
      </x:c>
      <x:c r="F40" s="18" t="str">
        <x:v>Commissioning required</x:v>
      </x:c>
      <x:c r="G40" s="18" t="str">
        <x:v>{"minimum": 1, "maximum": 3650}</x:v>
      </x:c>
      <x:c r="H40" s="18" t="str">
        <x:v>POLICY</x:v>
      </x:c>
      <x:c r="I40" s="18" t="str">
        <x:v>Commissioned retention within site capacity/legal policy; pinned case evidence survives ordinary expiry</x:v>
      </x:c>
      <x:c r="J40" s="22" t="str"/>
      <x:c r="K40" s="22" t="str">
        <x:v>Not assessed</x:v>
      </x:c>
    </x:row>
    <x:row r="41" ht="84" customHeight="1">
      <x:c r="A41" s="18" t="str">
        <x:v>CFG-037</x:v>
      </x:c>
      <x:c r="B41" s="18" t="str">
        <x:v>G11</x:v>
      </x:c>
      <x:c r="C41" s="18" t="str">
        <x:v>G11.mode</x:v>
      </x:c>
      <x:c r="D41" s="18" t="str">
        <x:v>enum</x:v>
      </x:c>
      <x:c r="E41" s="18" t="str">
        <x:v>state</x:v>
      </x:c>
      <x:c r="F41" s="18" t="str">
        <x:v>OPERATIONAL</x:v>
      </x:c>
      <x:c r="G41" s="18" t="str">
        <x:v>["OPERATIONAL", "OBSERVE_ONLY", "SHADOW", "DISABLED"]</x:v>
      </x:c>
      <x:c r="H41" s="18" t="str">
        <x:v>POLICY</x:v>
      </x:c>
      <x:c r="I41" s="18" t="str">
        <x:v>Diagnostic execution mode; required eligibility checks remain enforced even if display/optional method disabled</x:v>
      </x:c>
      <x:c r="J41" s="22" t="str"/>
      <x:c r="K41" s="22" t="str">
        <x:v>Not assessed</x:v>
      </x:c>
    </x:row>
    <x:row r="42" ht="84" customHeight="1">
      <x:c r="A42" s="18" t="str">
        <x:v>CFG-038</x:v>
      </x:c>
      <x:c r="B42" s="18" t="str">
        <x:v>G11</x:v>
      </x:c>
      <x:c r="C42" s="18" t="str">
        <x:v>G11.role</x:v>
      </x:c>
      <x:c r="D42" s="18" t="str">
        <x:v>enum</x:v>
      </x:c>
      <x:c r="E42" s="18" t="str">
        <x:v>role</x:v>
      </x:c>
      <x:c r="F42" s="18" t="str">
        <x:v>SUPPORTING</x:v>
      </x:c>
      <x:c r="G42" s="18" t="str">
        <x:v>["REQUIRED_CONTEXT", "PRIMARY", "SUPPORTING", "DISPLAY_ONLY", "INAPPLICABLE"]</x:v>
      </x:c>
      <x:c r="H42" s="18" t="str">
        <x:v>POLICY</x:v>
      </x:c>
      <x:c r="I42" s="18" t="str">
        <x:v>Validated method/profile restricts allowed role; no role can permit unsupported confirmation</x:v>
      </x:c>
      <x:c r="J42" s="22" t="str"/>
      <x:c r="K42" s="22" t="str">
        <x:v>Not assessed</x:v>
      </x:c>
    </x:row>
    <x:row r="43" ht="84" customHeight="1">
      <x:c r="A43" s="18" t="str">
        <x:v>CFG-039</x:v>
      </x:c>
      <x:c r="B43" s="18" t="str">
        <x:v>G11</x:v>
      </x:c>
      <x:c r="C43" s="18" t="str">
        <x:v>G11.evidence_retention_days</x:v>
      </x:c>
      <x:c r="D43" s="18" t="str">
        <x:v>integer</x:v>
      </x:c>
      <x:c r="E43" s="18" t="str">
        <x:v>day</x:v>
      </x:c>
      <x:c r="F43" s="18" t="str">
        <x:v>Commissioning required</x:v>
      </x:c>
      <x:c r="G43" s="18" t="str">
        <x:v>{"minimum": 1, "maximum": 3650}</x:v>
      </x:c>
      <x:c r="H43" s="18" t="str">
        <x:v>POLICY</x:v>
      </x:c>
      <x:c r="I43" s="18" t="str">
        <x:v>Commissioned retention within site capacity/legal policy; pinned case evidence survives ordinary expiry</x:v>
      </x:c>
      <x:c r="J43" s="22" t="str"/>
      <x:c r="K43" s="22" t="str">
        <x:v>Not assessed</x:v>
      </x:c>
    </x:row>
    <x:row r="44" ht="84" customHeight="1">
      <x:c r="A44" s="18" t="str">
        <x:v>CFG-040</x:v>
      </x:c>
      <x:c r="B44" s="18" t="str">
        <x:v>G12</x:v>
      </x:c>
      <x:c r="C44" s="18" t="str">
        <x:v>G12.mode</x:v>
      </x:c>
      <x:c r="D44" s="18" t="str">
        <x:v>enum</x:v>
      </x:c>
      <x:c r="E44" s="18" t="str">
        <x:v>state</x:v>
      </x:c>
      <x:c r="F44" s="18" t="str">
        <x:v>OPERATIONAL</x:v>
      </x:c>
      <x:c r="G44" s="18" t="str">
        <x:v>["OPERATIONAL", "OBSERVE_ONLY", "SHADOW", "DISABLED"]</x:v>
      </x:c>
      <x:c r="H44" s="18" t="str">
        <x:v>POLICY</x:v>
      </x:c>
      <x:c r="I44" s="18" t="str">
        <x:v>Diagnostic execution mode; required eligibility checks remain enforced even if display/optional method disabled</x:v>
      </x:c>
      <x:c r="J44" s="22" t="str"/>
      <x:c r="K44" s="22" t="str">
        <x:v>Not assessed</x:v>
      </x:c>
    </x:row>
    <x:row r="45" ht="84" customHeight="1">
      <x:c r="A45" s="18" t="str">
        <x:v>CFG-041</x:v>
      </x:c>
      <x:c r="B45" s="18" t="str">
        <x:v>G12</x:v>
      </x:c>
      <x:c r="C45" s="18" t="str">
        <x:v>G12.role</x:v>
      </x:c>
      <x:c r="D45" s="18" t="str">
        <x:v>enum</x:v>
      </x:c>
      <x:c r="E45" s="18" t="str">
        <x:v>role</x:v>
      </x:c>
      <x:c r="F45" s="18" t="str">
        <x:v>SUPPORTING</x:v>
      </x:c>
      <x:c r="G45" s="18" t="str">
        <x:v>["REQUIRED_CONTEXT", "PRIMARY", "SUPPORTING", "DISPLAY_ONLY", "INAPPLICABLE"]</x:v>
      </x:c>
      <x:c r="H45" s="18" t="str">
        <x:v>POLICY</x:v>
      </x:c>
      <x:c r="I45" s="18" t="str">
        <x:v>Validated method/profile restricts allowed role; no role can permit unsupported confirmation</x:v>
      </x:c>
      <x:c r="J45" s="22" t="str"/>
      <x:c r="K45" s="22" t="str">
        <x:v>Not assessed</x:v>
      </x:c>
    </x:row>
    <x:row r="46" ht="84" customHeight="1">
      <x:c r="A46" s="18" t="str">
        <x:v>CFG-042</x:v>
      </x:c>
      <x:c r="B46" s="18" t="str">
        <x:v>G12</x:v>
      </x:c>
      <x:c r="C46" s="18" t="str">
        <x:v>G12.evidence_retention_days</x:v>
      </x:c>
      <x:c r="D46" s="18" t="str">
        <x:v>integer</x:v>
      </x:c>
      <x:c r="E46" s="18" t="str">
        <x:v>day</x:v>
      </x:c>
      <x:c r="F46" s="18" t="str">
        <x:v>Commissioning required</x:v>
      </x:c>
      <x:c r="G46" s="18" t="str">
        <x:v>{"minimum": 1, "maximum": 3650}</x:v>
      </x:c>
      <x:c r="H46" s="18" t="str">
        <x:v>POLICY</x:v>
      </x:c>
      <x:c r="I46" s="18" t="str">
        <x:v>Commissioned retention within site capacity/legal policy; pinned case evidence survives ordinary expiry</x:v>
      </x:c>
      <x:c r="J46" s="22" t="str"/>
      <x:c r="K46" s="22" t="str">
        <x:v>Not assessed</x:v>
      </x:c>
    </x:row>
    <x:row r="47" ht="84" customHeight="1">
      <x:c r="A47" s="18" t="str">
        <x:v>CFG-043</x:v>
      </x:c>
      <x:c r="B47" s="18" t="str">
        <x:v>G13</x:v>
      </x:c>
      <x:c r="C47" s="18" t="str">
        <x:v>G13.mode</x:v>
      </x:c>
      <x:c r="D47" s="18" t="str">
        <x:v>enum</x:v>
      </x:c>
      <x:c r="E47" s="18" t="str">
        <x:v>state</x:v>
      </x:c>
      <x:c r="F47" s="18" t="str">
        <x:v>OPERATIONAL</x:v>
      </x:c>
      <x:c r="G47" s="18" t="str">
        <x:v>["OPERATIONAL", "OBSERVE_ONLY", "SHADOW", "DISABLED"]</x:v>
      </x:c>
      <x:c r="H47" s="18" t="str">
        <x:v>POLICY</x:v>
      </x:c>
      <x:c r="I47" s="18" t="str">
        <x:v>Diagnostic execution mode; required eligibility checks remain enforced even if display/optional method disabled</x:v>
      </x:c>
      <x:c r="J47" s="22" t="str"/>
      <x:c r="K47" s="22" t="str">
        <x:v>Not assessed</x:v>
      </x:c>
    </x:row>
    <x:row r="48" ht="84" customHeight="1">
      <x:c r="A48" s="18" t="str">
        <x:v>CFG-044</x:v>
      </x:c>
      <x:c r="B48" s="18" t="str">
        <x:v>G13</x:v>
      </x:c>
      <x:c r="C48" s="18" t="str">
        <x:v>G13.role</x:v>
      </x:c>
      <x:c r="D48" s="18" t="str">
        <x:v>enum</x:v>
      </x:c>
      <x:c r="E48" s="18" t="str">
        <x:v>role</x:v>
      </x:c>
      <x:c r="F48" s="18" t="str">
        <x:v>SUPPORTING</x:v>
      </x:c>
      <x:c r="G48" s="18" t="str">
        <x:v>["REQUIRED_CONTEXT", "PRIMARY", "SUPPORTING", "DISPLAY_ONLY", "INAPPLICABLE"]</x:v>
      </x:c>
      <x:c r="H48" s="18" t="str">
        <x:v>POLICY</x:v>
      </x:c>
      <x:c r="I48" s="18" t="str">
        <x:v>Validated method/profile restricts allowed role; no role can permit unsupported confirmation</x:v>
      </x:c>
      <x:c r="J48" s="22" t="str"/>
      <x:c r="K48" s="22" t="str">
        <x:v>Not assessed</x:v>
      </x:c>
    </x:row>
    <x:row r="49" ht="84" customHeight="1">
      <x:c r="A49" s="18" t="str">
        <x:v>CFG-045</x:v>
      </x:c>
      <x:c r="B49" s="18" t="str">
        <x:v>G13</x:v>
      </x:c>
      <x:c r="C49" s="18" t="str">
        <x:v>G13.evidence_retention_days</x:v>
      </x:c>
      <x:c r="D49" s="18" t="str">
        <x:v>integer</x:v>
      </x:c>
      <x:c r="E49" s="18" t="str">
        <x:v>day</x:v>
      </x:c>
      <x:c r="F49" s="18" t="str">
        <x:v>Commissioning required</x:v>
      </x:c>
      <x:c r="G49" s="18" t="str">
        <x:v>{"minimum": 1, "maximum": 3650}</x:v>
      </x:c>
      <x:c r="H49" s="18" t="str">
        <x:v>POLICY</x:v>
      </x:c>
      <x:c r="I49" s="18" t="str">
        <x:v>Commissioned retention within site capacity/legal policy; pinned case evidence survives ordinary expiry</x:v>
      </x:c>
      <x:c r="J49" s="22" t="str"/>
      <x:c r="K49" s="22" t="str">
        <x:v>Not assessed</x:v>
      </x:c>
    </x:row>
    <x:row r="50" ht="84" customHeight="1">
      <x:c r="A50" s="18" t="str">
        <x:v>CFG-046</x:v>
      </x:c>
      <x:c r="B50" s="18" t="str">
        <x:v>G14</x:v>
      </x:c>
      <x:c r="C50" s="18" t="str">
        <x:v>G14.mode</x:v>
      </x:c>
      <x:c r="D50" s="18" t="str">
        <x:v>enum</x:v>
      </x:c>
      <x:c r="E50" s="18" t="str">
        <x:v>state</x:v>
      </x:c>
      <x:c r="F50" s="18" t="str">
        <x:v>OPERATIONAL</x:v>
      </x:c>
      <x:c r="G50" s="18" t="str">
        <x:v>["OPERATIONAL", "OBSERVE_ONLY", "SHADOW", "DISABLED"]</x:v>
      </x:c>
      <x:c r="H50" s="18" t="str">
        <x:v>POLICY</x:v>
      </x:c>
      <x:c r="I50" s="18" t="str">
        <x:v>Diagnostic execution mode; required eligibility checks remain enforced even if display/optional method disabled</x:v>
      </x:c>
      <x:c r="J50" s="22" t="str"/>
      <x:c r="K50" s="22" t="str">
        <x:v>Not assessed</x:v>
      </x:c>
    </x:row>
    <x:row r="51" ht="84" customHeight="1">
      <x:c r="A51" s="18" t="str">
        <x:v>CFG-047</x:v>
      </x:c>
      <x:c r="B51" s="18" t="str">
        <x:v>G14</x:v>
      </x:c>
      <x:c r="C51" s="18" t="str">
        <x:v>G14.role</x:v>
      </x:c>
      <x:c r="D51" s="18" t="str">
        <x:v>enum</x:v>
      </x:c>
      <x:c r="E51" s="18" t="str">
        <x:v>role</x:v>
      </x:c>
      <x:c r="F51" s="18" t="str">
        <x:v>REQUIRED_CONTEXT</x:v>
      </x:c>
      <x:c r="G51" s="18" t="str">
        <x:v>["REQUIRED_CONTEXT", "PRIMARY", "SUPPORTING", "DISPLAY_ONLY", "INAPPLICABLE"]</x:v>
      </x:c>
      <x:c r="H51" s="18" t="str">
        <x:v>POLICY</x:v>
      </x:c>
      <x:c r="I51" s="18" t="str">
        <x:v>Validated method/profile restricts allowed role; no role can permit unsupported confirmation</x:v>
      </x:c>
      <x:c r="J51" s="22" t="str"/>
      <x:c r="K51" s="22" t="str">
        <x:v>Not assessed</x:v>
      </x:c>
    </x:row>
    <x:row r="52" ht="84" customHeight="1">
      <x:c r="A52" s="18" t="str">
        <x:v>CFG-048</x:v>
      </x:c>
      <x:c r="B52" s="18" t="str">
        <x:v>G14</x:v>
      </x:c>
      <x:c r="C52" s="18" t="str">
        <x:v>G14.evidence_retention_days</x:v>
      </x:c>
      <x:c r="D52" s="18" t="str">
        <x:v>integer</x:v>
      </x:c>
      <x:c r="E52" s="18" t="str">
        <x:v>day</x:v>
      </x:c>
      <x:c r="F52" s="18" t="str">
        <x:v>Commissioning required</x:v>
      </x:c>
      <x:c r="G52" s="18" t="str">
        <x:v>{"minimum": 1, "maximum": 3650}</x:v>
      </x:c>
      <x:c r="H52" s="18" t="str">
        <x:v>POLICY</x:v>
      </x:c>
      <x:c r="I52" s="18" t="str">
        <x:v>Commissioned retention within site capacity/legal policy; pinned case evidence survives ordinary expiry</x:v>
      </x:c>
      <x:c r="J52" s="22" t="str"/>
      <x:c r="K52" s="22" t="str">
        <x:v>Not assessed</x:v>
      </x:c>
    </x:row>
    <x:row r="53" ht="84" customHeight="1">
      <x:c r="A53" s="18" t="str">
        <x:v>CFG-049</x:v>
      </x:c>
      <x:c r="B53" s="18" t="str">
        <x:v>G15</x:v>
      </x:c>
      <x:c r="C53" s="18" t="str">
        <x:v>G15.mode</x:v>
      </x:c>
      <x:c r="D53" s="18" t="str">
        <x:v>enum</x:v>
      </x:c>
      <x:c r="E53" s="18" t="str">
        <x:v>state</x:v>
      </x:c>
      <x:c r="F53" s="18" t="str">
        <x:v>OPERATIONAL</x:v>
      </x:c>
      <x:c r="G53" s="18" t="str">
        <x:v>["OPERATIONAL", "OBSERVE_ONLY", "SHADOW", "DISABLED"]</x:v>
      </x:c>
      <x:c r="H53" s="18" t="str">
        <x:v>POLICY</x:v>
      </x:c>
      <x:c r="I53" s="18" t="str">
        <x:v>Diagnostic execution mode; required eligibility checks remain enforced even if display/optional method disabled</x:v>
      </x:c>
      <x:c r="J53" s="22" t="str"/>
      <x:c r="K53" s="22" t="str">
        <x:v>Not assessed</x:v>
      </x:c>
    </x:row>
    <x:row r="54" ht="84" customHeight="1">
      <x:c r="A54" s="18" t="str">
        <x:v>CFG-050</x:v>
      </x:c>
      <x:c r="B54" s="18" t="str">
        <x:v>G15</x:v>
      </x:c>
      <x:c r="C54" s="18" t="str">
        <x:v>G15.role</x:v>
      </x:c>
      <x:c r="D54" s="18" t="str">
        <x:v>enum</x:v>
      </x:c>
      <x:c r="E54" s="18" t="str">
        <x:v>role</x:v>
      </x:c>
      <x:c r="F54" s="18" t="str">
        <x:v>REQUIRED_CONTEXT</x:v>
      </x:c>
      <x:c r="G54" s="18" t="str">
        <x:v>["REQUIRED_CONTEXT", "PRIMARY", "SUPPORTING", "DISPLAY_ONLY", "INAPPLICABLE"]</x:v>
      </x:c>
      <x:c r="H54" s="18" t="str">
        <x:v>POLICY</x:v>
      </x:c>
      <x:c r="I54" s="18" t="str">
        <x:v>Validated method/profile restricts allowed role; no role can permit unsupported confirmation</x:v>
      </x:c>
      <x:c r="J54" s="22" t="str"/>
      <x:c r="K54" s="22" t="str">
        <x:v>Not assessed</x:v>
      </x:c>
    </x:row>
    <x:row r="55" ht="84" customHeight="1">
      <x:c r="A55" s="18" t="str">
        <x:v>CFG-051</x:v>
      </x:c>
      <x:c r="B55" s="18" t="str">
        <x:v>G15</x:v>
      </x:c>
      <x:c r="C55" s="18" t="str">
        <x:v>G15.evidence_retention_days</x:v>
      </x:c>
      <x:c r="D55" s="18" t="str">
        <x:v>integer</x:v>
      </x:c>
      <x:c r="E55" s="18" t="str">
        <x:v>day</x:v>
      </x:c>
      <x:c r="F55" s="18" t="str">
        <x:v>Commissioning required</x:v>
      </x:c>
      <x:c r="G55" s="18" t="str">
        <x:v>{"minimum": 1, "maximum": 3650}</x:v>
      </x:c>
      <x:c r="H55" s="18" t="str">
        <x:v>POLICY</x:v>
      </x:c>
      <x:c r="I55" s="18" t="str">
        <x:v>Commissioned retention within site capacity/legal policy; pinned case evidence survives ordinary expiry</x:v>
      </x:c>
      <x:c r="J55" s="22" t="str"/>
      <x:c r="K55" s="22" t="str">
        <x:v>Not assessed</x:v>
      </x:c>
    </x:row>
    <x:row r="56" ht="84" customHeight="1">
      <x:c r="A56" s="18" t="str">
        <x:v>CFG-052</x:v>
      </x:c>
      <x:c r="B56" s="18" t="str">
        <x:v>G0</x:v>
      </x:c>
      <x:c r="C56" s="18" t="str">
        <x:v>G0.coverage_min</x:v>
      </x:c>
      <x:c r="D56" s="18" t="str">
        <x:v>number</x:v>
      </x:c>
      <x:c r="E56" s="18" t="str">
        <x:v>fraction</x:v>
      </x:c>
      <x:c r="F56" s="18" t="str">
        <x:v>Commissioning required</x:v>
      </x:c>
      <x:c r="G56" s="18" t="str">
        <x:v>{"minimum": 0, "maximum": 1}</x:v>
      </x:c>
      <x:c r="H56" s="18" t="str">
        <x:v>POLICY</x:v>
      </x:c>
      <x:c r="I56" s="18" t="str">
        <x:v>Minimum qualified time coverage for dependent method</x:v>
      </x:c>
      <x:c r="J56" s="22" t="str"/>
      <x:c r="K56" s="22" t="str">
        <x:v>Not assessed</x:v>
      </x:c>
    </x:row>
    <x:row r="57" ht="84" customHeight="1">
      <x:c r="A57" s="18" t="str">
        <x:v>CFG-053</x:v>
      </x:c>
      <x:c r="B57" s="18" t="str">
        <x:v>G0</x:v>
      </x:c>
      <x:c r="C57" s="18" t="str">
        <x:v>G0.bad_fraction_max</x:v>
      </x:c>
      <x:c r="D57" s="18" t="str">
        <x:v>number</x:v>
      </x:c>
      <x:c r="E57" s="18" t="str">
        <x:v>fraction</x:v>
      </x:c>
      <x:c r="F57" s="18" t="str">
        <x:v>Commissioning required</x:v>
      </x:c>
      <x:c r="G57" s="18" t="str">
        <x:v>{"minimum": 0, "maximum": 1}</x:v>
      </x:c>
      <x:c r="H57" s="18" t="str">
        <x:v>POLICY</x:v>
      </x:c>
      <x:c r="I57" s="18" t="str">
        <x:v>Worst permitted invalid support; native bad values never become usable</x:v>
      </x:c>
      <x:c r="J57" s="22" t="str"/>
      <x:c r="K57" s="22" t="str">
        <x:v>Not assessed</x:v>
      </x:c>
    </x:row>
    <x:row r="58" ht="84" customHeight="1">
      <x:c r="A58" s="18" t="str">
        <x:v>CFG-054</x:v>
      </x:c>
      <x:c r="B58" s="18" t="str">
        <x:v>G0</x:v>
      </x:c>
      <x:c r="C58" s="18" t="str">
        <x:v>G0.required_signal_max_age_s</x:v>
      </x:c>
      <x:c r="D58" s="18" t="str">
        <x:v>number</x:v>
      </x:c>
      <x:c r="E58" s="18" t="str">
        <x:v>s</x:v>
      </x:c>
      <x:c r="F58" s="18" t="str">
        <x:v>Commissioning required</x:v>
      </x:c>
      <x:c r="G58" s="18" t="str">
        <x:v>{"minimum": 0.001, "maximum": 86400}</x:v>
      </x:c>
      <x:c r="H58" s="18" t="str">
        <x:v>STATE_BOUNDARY</x:v>
      </x:c>
      <x:c r="I58" s="18" t="str">
        <x:v>Per-role policy may be stricter; cannot replace actual source freshness</x:v>
      </x:c>
      <x:c r="J58" s="22" t="str"/>
      <x:c r="K58" s="22" t="str">
        <x:v>Not assessed</x:v>
      </x:c>
    </x:row>
    <x:row r="59" ht="84" customHeight="1">
      <x:c r="A59" s="18" t="str">
        <x:v>CFG-055</x:v>
      </x:c>
      <x:c r="B59" s="18" t="str">
        <x:v>G0</x:v>
      </x:c>
      <x:c r="C59" s="18" t="str">
        <x:v>G0.max_gap_s</x:v>
      </x:c>
      <x:c r="D59" s="18" t="str">
        <x:v>number</x:v>
      </x:c>
      <x:c r="E59" s="18" t="str">
        <x:v>s</x:v>
      </x:c>
      <x:c r="F59" s="18" t="str">
        <x:v>Commissioning required</x:v>
      </x:c>
      <x:c r="G59" s="18" t="str">
        <x:v>{"minimum": 0.001, "maximum": 86400}</x:v>
      </x:c>
      <x:c r="H59" s="18" t="str">
        <x:v>STATE_BOUNDARY</x:v>
      </x:c>
      <x:c r="I59" s="18" t="str">
        <x:v>Largest allowed unsupported interval; event censor/split</x:v>
      </x:c>
      <x:c r="J59" s="22" t="str"/>
      <x:c r="K59" s="22" t="str">
        <x:v>Not assessed</x:v>
      </x:c>
    </x:row>
    <x:row r="60" ht="84" customHeight="1">
      <x:c r="A60" s="18" t="str">
        <x:v>CFG-056</x:v>
      </x:c>
      <x:c r="B60" s="18" t="str">
        <x:v>G0</x:v>
      </x:c>
      <x:c r="C60" s="18" t="str">
        <x:v>G0.alignment_tolerance_s</x:v>
      </x:c>
      <x:c r="D60" s="18" t="str">
        <x:v>number</x:v>
      </x:c>
      <x:c r="E60" s="18" t="str">
        <x:v>s</x:v>
      </x:c>
      <x:c r="F60" s="18" t="str">
        <x:v>Commissioning required</x:v>
      </x:c>
      <x:c r="G60" s="18" t="str">
        <x:v>{"minimum": 0, "maximum": 3600}</x:v>
      </x:c>
      <x:c r="H60" s="18" t="str">
        <x:v>STATE_BOUNDARY</x:v>
      </x:c>
      <x:c r="I60" s="18" t="str">
        <x:v>Maximum verified role alignment uncertainty</x:v>
      </x:c>
      <x:c r="J60" s="22" t="str"/>
      <x:c r="K60" s="22" t="str">
        <x:v>Not assessed</x:v>
      </x:c>
    </x:row>
    <x:row r="61" ht="84" customHeight="1">
      <x:c r="A61" s="18" t="str">
        <x:v>CFG-057</x:v>
      </x:c>
      <x:c r="B61" s="18" t="str">
        <x:v>G0</x:v>
      </x:c>
      <x:c r="C61" s="18" t="str">
        <x:v>G0.min_samples</x:v>
      </x:c>
      <x:c r="D61" s="18" t="str">
        <x:v>integer</x:v>
      </x:c>
      <x:c r="E61" s="18" t="str">
        <x:v>sample</x:v>
      </x:c>
      <x:c r="F61" s="18" t="n">
        <x:v>10</x:v>
      </x:c>
      <x:c r="G61" s="18" t="str">
        <x:v>{"minimum": 2, "maximum": 1000000}</x:v>
      </x:c>
      <x:c r="H61" s="18" t="str">
        <x:v>POLICY</x:v>
      </x:c>
      <x:c r="I61" s="18" t="str">
        <x:v>Necessary but not sufficient method support</x:v>
      </x:c>
      <x:c r="J61" s="22" t="str"/>
      <x:c r="K61" s="22" t="str">
        <x:v>Not assessed</x:v>
      </x:c>
    </x:row>
    <x:row r="62" ht="84" customHeight="1">
      <x:c r="A62" s="18" t="str">
        <x:v>CFG-058</x:v>
      </x:c>
      <x:c r="B62" s="18" t="str">
        <x:v>G0</x:v>
      </x:c>
      <x:c r="C62" s="18" t="str">
        <x:v>G0.jitter_warn_fraction</x:v>
      </x:c>
      <x:c r="D62" s="18" t="str">
        <x:v>number</x:v>
      </x:c>
      <x:c r="E62" s="18" t="str">
        <x:v>fraction</x:v>
      </x:c>
      <x:c r="F62" s="18" t="str">
        <x:v>Commissioning required</x:v>
      </x:c>
      <x:c r="G62" s="18" t="str">
        <x:v>{"minimum": 0, "maximum": 10}</x:v>
      </x:c>
      <x:c r="H62" s="18" t="str">
        <x:v>POLICY</x:v>
      </x:c>
      <x:c r="I62" s="18" t="str">
        <x:v>Observed interval variation warning, not interpolation permission</x:v>
      </x:c>
      <x:c r="J62" s="22" t="str"/>
      <x:c r="K62" s="22" t="str">
        <x:v>Not assessed</x:v>
      </x:c>
    </x:row>
    <x:row r="63" ht="84" customHeight="1">
      <x:c r="A63" s="18" t="str">
        <x:v>CFG-059</x:v>
      </x:c>
      <x:c r="B63" s="18" t="str">
        <x:v>G1</x:v>
      </x:c>
      <x:c r="C63" s="18" t="str">
        <x:v>G1.auto_fraction_min</x:v>
      </x:c>
      <x:c r="D63" s="18" t="str">
        <x:v>number</x:v>
      </x:c>
      <x:c r="E63" s="18" t="str">
        <x:v>fraction</x:v>
      </x:c>
      <x:c r="F63" s="18" t="str">
        <x:v>Commissioning required</x:v>
      </x:c>
      <x:c r="G63" s="18" t="str">
        <x:v>{"minimum": 0, "maximum": 1}</x:v>
      </x:c>
      <x:c r="H63" s="18" t="str">
        <x:v>POLICY</x:v>
      </x:c>
      <x:c r="I63" s="18" t="str">
        <x:v>Commissioned eligible control-authority duration, not merely string AUTO</x:v>
      </x:c>
      <x:c r="J63" s="22" t="str"/>
      <x:c r="K63" s="22" t="str">
        <x:v>Not assessed</x:v>
      </x:c>
    </x:row>
    <x:row r="64" ht="84" customHeight="1">
      <x:c r="A64" s="18" t="str">
        <x:v>CFG-060</x:v>
      </x:c>
      <x:c r="B64" s="18" t="str">
        <x:v>G1</x:v>
      </x:c>
      <x:c r="C64" s="18" t="str">
        <x:v>G1.transition_guard_s</x:v>
      </x:c>
      <x:c r="D64" s="18" t="str">
        <x:v>number</x:v>
      </x:c>
      <x:c r="E64" s="18" t="str">
        <x:v>s</x:v>
      </x:c>
      <x:c r="F64" s="18" t="str">
        <x:v>Commissioning required</x:v>
      </x:c>
      <x:c r="G64" s="18" t="str">
        <x:v>{"minimum": 0, "maximum": 86400}</x:v>
      </x:c>
      <x:c r="H64" s="18" t="str">
        <x:v>STATE_BOUNDARY</x:v>
      </x:c>
      <x:c r="I64" s="18" t="str">
        <x:v>Guard around actual mode/selector transitions</x:v>
      </x:c>
      <x:c r="J64" s="22" t="str"/>
      <x:c r="K64" s="22" t="str">
        <x:v>Not assessed</x:v>
      </x:c>
    </x:row>
    <x:row r="65" ht="84" customHeight="1">
      <x:c r="A65" s="18" t="str">
        <x:v>CFG-061</x:v>
      </x:c>
      <x:c r="B65" s="18" t="str">
        <x:v>G1</x:v>
      </x:c>
      <x:c r="C65" s="18" t="str">
        <x:v>G1.authority_max_age_s</x:v>
      </x:c>
      <x:c r="D65" s="18" t="str">
        <x:v>number</x:v>
      </x:c>
      <x:c r="E65" s="18" t="str">
        <x:v>s</x:v>
      </x:c>
      <x:c r="F65" s="18" t="str">
        <x:v>Commissioning required</x:v>
      </x:c>
      <x:c r="G65" s="18" t="str">
        <x:v>{"minimum": 0.001, "maximum": 86400}</x:v>
      </x:c>
      <x:c r="H65" s="18" t="str">
        <x:v>STATE_BOUNDARY</x:v>
      </x:c>
      <x:c r="I65" s="18" t="str">
        <x:v>Current authority validity threshold</x:v>
      </x:c>
      <x:c r="J65" s="22" t="str"/>
      <x:c r="K65" s="22" t="str">
        <x:v>Not assessed</x:v>
      </x:c>
    </x:row>
    <x:row r="66" ht="84" customHeight="1">
      <x:c r="A66" s="18" t="str">
        <x:v>CFG-062</x:v>
      </x:c>
      <x:c r="B66" s="18" t="str">
        <x:v>G2</x:v>
      </x:c>
      <x:c r="C66" s="18" t="str">
        <x:v>G2.stability_band_pv_eu</x:v>
      </x:c>
      <x:c r="D66" s="18" t="str">
        <x:v>number</x:v>
      </x:c>
      <x:c r="E66" s="18" t="str">
        <x:v>PV_EU</x:v>
      </x:c>
      <x:c r="F66" s="18" t="str">
        <x:v>Commissioning required</x:v>
      </x:c>
      <x:c r="G66" s="18" t="str">
        <x:v>{"minimum": 0, "maximum": 1000000000000.0}</x:v>
      </x:c>
      <x:c r="H66" s="18" t="str">
        <x:v>POLICY</x:v>
      </x:c>
      <x:c r="I66" s="18" t="str">
        <x:v>Absolute SP stability band with explicit loop engineering unit</x:v>
      </x:c>
      <x:c r="J66" s="22" t="str"/>
      <x:c r="K66" s="22" t="str">
        <x:v>Not assessed</x:v>
      </x:c>
    </x:row>
    <x:row r="67" ht="84" customHeight="1">
      <x:c r="A67" s="18" t="str">
        <x:v>CFG-063</x:v>
      </x:c>
      <x:c r="B67" s="18" t="str">
        <x:v>G2</x:v>
      </x:c>
      <x:c r="C67" s="18" t="str">
        <x:v>G2.stability_band_span_fraction</x:v>
      </x:c>
      <x:c r="D67" s="18" t="str">
        <x:v>number</x:v>
      </x:c>
      <x:c r="E67" s="18" t="str">
        <x:v>fraction</x:v>
      </x:c>
      <x:c r="F67" s="18" t="str">
        <x:v>Commissioning required</x:v>
      </x:c>
      <x:c r="G67" s="18" t="str">
        <x:v>{"minimum": 0, "maximum": 1}</x:v>
      </x:c>
      <x:c r="H67" s="18" t="str">
        <x:v>POLICY</x:v>
      </x:c>
      <x:c r="I67" s="18" t="str">
        <x:v>Configured SP range criterion complementary to absolute threshold</x:v>
      </x:c>
      <x:c r="J67" s="22" t="str"/>
      <x:c r="K67" s="22" t="str">
        <x:v>Not assessed</x:v>
      </x:c>
    </x:row>
    <x:row r="68" ht="84" customHeight="1">
      <x:c r="A68" s="18" t="str">
        <x:v>CFG-064</x:v>
      </x:c>
      <x:c r="B68" s="18" t="str">
        <x:v>G2</x:v>
      </x:c>
      <x:c r="C68" s="18" t="str">
        <x:v>G2.step_min_pv_eu</x:v>
      </x:c>
      <x:c r="D68" s="18" t="str">
        <x:v>number</x:v>
      </x:c>
      <x:c r="E68" s="18" t="str">
        <x:v>PV_EU</x:v>
      </x:c>
      <x:c r="F68" s="18" t="str">
        <x:v>Commissioning required</x:v>
      </x:c>
      <x:c r="G68" s="18" t="str">
        <x:v>{"minimum": 0, "maximum": 1000000000000.0}</x:v>
      </x:c>
      <x:c r="H68" s="18" t="str">
        <x:v>STATE_BOUNDARY</x:v>
      </x:c>
      <x:c r="I68" s="18" t="str">
        <x:v>Event step threshold; actual effective SP</x:v>
      </x:c>
      <x:c r="J68" s="22" t="str"/>
      <x:c r="K68" s="22" t="str">
        <x:v>Not assessed</x:v>
      </x:c>
    </x:row>
    <x:row r="69" ht="84" customHeight="1">
      <x:c r="A69" s="18" t="str">
        <x:v>CFG-065</x:v>
      </x:c>
      <x:c r="B69" s="18" t="str">
        <x:v>G2</x:v>
      </x:c>
      <x:c r="C69" s="18" t="str">
        <x:v>G2.ramp_min_pv_eu_per_s</x:v>
      </x:c>
      <x:c r="D69" s="18" t="str">
        <x:v>number</x:v>
      </x:c>
      <x:c r="E69" s="18" t="str">
        <x:v>PV_EU/s</x:v>
      </x:c>
      <x:c r="F69" s="18" t="str">
        <x:v>Commissioning required</x:v>
      </x:c>
      <x:c r="G69" s="18" t="str">
        <x:v>{"minimum": 0, "maximum": 1000000000000.0}</x:v>
      </x:c>
      <x:c r="H69" s="18" t="str">
        <x:v>STATE_BOUNDARY</x:v>
      </x:c>
      <x:c r="I69" s="18" t="str">
        <x:v>Ramp detector threshold</x:v>
      </x:c>
      <x:c r="J69" s="22" t="str"/>
      <x:c r="K69" s="22" t="str">
        <x:v>Not assessed</x:v>
      </x:c>
    </x:row>
    <x:row r="70" ht="84" customHeight="1">
      <x:c r="A70" s="18" t="str">
        <x:v>CFG-066</x:v>
      </x:c>
      <x:c r="B70" s="18" t="str">
        <x:v>G2</x:v>
      </x:c>
      <x:c r="C70" s="18" t="str">
        <x:v>G2.event_dwell_s</x:v>
      </x:c>
      <x:c r="D70" s="18" t="str">
        <x:v>number</x:v>
      </x:c>
      <x:c r="E70" s="18" t="str">
        <x:v>s</x:v>
      </x:c>
      <x:c r="F70" s="18" t="str">
        <x:v>Commissioning required</x:v>
      </x:c>
      <x:c r="G70" s="18" t="str">
        <x:v>{"minimum": 0, "maximum": 86400}</x:v>
      </x:c>
      <x:c r="H70" s="18" t="str">
        <x:v>STATE_BOUNDARY</x:v>
      </x:c>
      <x:c r="I70" s="18" t="str">
        <x:v>New SP event persistence</x:v>
      </x:c>
      <x:c r="J70" s="22" t="str"/>
      <x:c r="K70" s="22" t="str">
        <x:v>Not assessed</x:v>
      </x:c>
    </x:row>
    <x:row r="71" ht="84" customHeight="1">
      <x:c r="A71" s="18" t="str">
        <x:v>CFG-067</x:v>
      </x:c>
      <x:c r="B71" s="18" t="str">
        <x:v>G2r</x:v>
      </x:c>
      <x:c r="C71" s="18" t="str">
        <x:v>G2r.pv_region_min</x:v>
      </x:c>
      <x:c r="D71" s="18" t="str">
        <x:v>number</x:v>
      </x:c>
      <x:c r="E71" s="18" t="str">
        <x:v>PV_EU</x:v>
      </x:c>
      <x:c r="F71" s="18" t="str">
        <x:v>Commissioning required</x:v>
      </x:c>
      <x:c r="G71" s="18" t="str">
        <x:v>{"minimum": -1000000000000000.0, "maximum": 1000000000000000.0}</x:v>
      </x:c>
      <x:c r="H71" s="18" t="str">
        <x:v>POLICY</x:v>
      </x:c>
      <x:c r="I71" s="18" t="str">
        <x:v>Approved model/operating domain, not alarm/trip limit</x:v>
      </x:c>
      <x:c r="J71" s="22" t="str"/>
      <x:c r="K71" s="22" t="str">
        <x:v>Not assessed</x:v>
      </x:c>
    </x:row>
    <x:row r="72" ht="84" customHeight="1">
      <x:c r="A72" s="18" t="str">
        <x:v>CFG-068</x:v>
      </x:c>
      <x:c r="B72" s="18" t="str">
        <x:v>G2r</x:v>
      </x:c>
      <x:c r="C72" s="18" t="str">
        <x:v>G2r.pv_region_max</x:v>
      </x:c>
      <x:c r="D72" s="18" t="str">
        <x:v>number</x:v>
      </x:c>
      <x:c r="E72" s="18" t="str">
        <x:v>PV_EU</x:v>
      </x:c>
      <x:c r="F72" s="18" t="str">
        <x:v>Commissioning required</x:v>
      </x:c>
      <x:c r="G72" s="18" t="str">
        <x:v>{"minimum": -1000000000000000.0, "maximum": 1000000000000000.0}</x:v>
      </x:c>
      <x:c r="H72" s="18" t="str">
        <x:v>POLICY</x:v>
      </x:c>
      <x:c r="I72" s="18" t="str">
        <x:v>Maximum greater than minimum</x:v>
      </x:c>
      <x:c r="J72" s="22" t="str"/>
      <x:c r="K72" s="22" t="str">
        <x:v>Not assessed</x:v>
      </x:c>
    </x:row>
    <x:row r="73" ht="84" customHeight="1">
      <x:c r="A73" s="18" t="str">
        <x:v>CFG-069</x:v>
      </x:c>
      <x:c r="B73" s="18" t="str">
        <x:v>G2r</x:v>
      </x:c>
      <x:c r="C73" s="18" t="str">
        <x:v>G2r.applied_input_region_min</x:v>
      </x:c>
      <x:c r="D73" s="18" t="str">
        <x:v>number</x:v>
      </x:c>
      <x:c r="E73" s="18" t="str">
        <x:v>input_EU</x:v>
      </x:c>
      <x:c r="F73" s="18" t="str">
        <x:v>Commissioning required</x:v>
      </x:c>
      <x:c r="G73" s="18" t="str">
        <x:v>{"minimum": -1000000000000000.0, "maximum": 1000000000000000.0}</x:v>
      </x:c>
      <x:c r="H73" s="18" t="str">
        <x:v>POLICY</x:v>
      </x:c>
      <x:c r="I73" s="18" t="str">
        <x:v>Actual command path operating domain</x:v>
      </x:c>
      <x:c r="J73" s="22" t="str"/>
      <x:c r="K73" s="22" t="str">
        <x:v>Not assessed</x:v>
      </x:c>
    </x:row>
    <x:row r="74" ht="84" customHeight="1">
      <x:c r="A74" s="18" t="str">
        <x:v>CFG-070</x:v>
      </x:c>
      <x:c r="B74" s="18" t="str">
        <x:v>G2r</x:v>
      </x:c>
      <x:c r="C74" s="18" t="str">
        <x:v>G2r.applied_input_region_max</x:v>
      </x:c>
      <x:c r="D74" s="18" t="str">
        <x:v>number</x:v>
      </x:c>
      <x:c r="E74" s="18" t="str">
        <x:v>input_EU</x:v>
      </x:c>
      <x:c r="F74" s="18" t="str">
        <x:v>Commissioning required</x:v>
      </x:c>
      <x:c r="G74" s="18" t="str">
        <x:v>{"minimum": -1000000000000000.0, "maximum": 1000000000000000.0}</x:v>
      </x:c>
      <x:c r="H74" s="18" t="str">
        <x:v>POLICY</x:v>
      </x:c>
      <x:c r="I74" s="18" t="str">
        <x:v>Maximum greater than minimum</x:v>
      </x:c>
      <x:c r="J74" s="22" t="str"/>
      <x:c r="K74" s="22" t="str">
        <x:v>Not assessed</x:v>
      </x:c>
    </x:row>
    <x:row r="75" ht="84" customHeight="1">
      <x:c r="A75" s="18" t="str">
        <x:v>CFG-071</x:v>
      </x:c>
      <x:c r="B75" s="18" t="str">
        <x:v>G2r</x:v>
      </x:c>
      <x:c r="C75" s="18" t="str">
        <x:v>G2r.out_of_domain_warn_fraction</x:v>
      </x:c>
      <x:c r="D75" s="18" t="str">
        <x:v>number</x:v>
      </x:c>
      <x:c r="E75" s="18" t="str">
        <x:v>fraction</x:v>
      </x:c>
      <x:c r="F75" s="18" t="str">
        <x:v>Commissioning required</x:v>
      </x:c>
      <x:c r="G75" s="18" t="str">
        <x:v>{"minimum": 0, "maximum": 1}</x:v>
      </x:c>
      <x:c r="H75" s="18" t="str">
        <x:v>POLICY</x:v>
      </x:c>
      <x:c r="I75" s="18" t="str">
        <x:v>Domain-exposure warning; all physical excursions retained</x:v>
      </x:c>
      <x:c r="J75" s="22" t="str"/>
      <x:c r="K75" s="22" t="str">
        <x:v>Not assessed</x:v>
      </x:c>
    </x:row>
    <x:row r="76" ht="84" customHeight="1">
      <x:c r="A76" s="18" t="str">
        <x:v>CFG-072</x:v>
      </x:c>
      <x:c r="B76" s="18" t="str">
        <x:v>G3</x:v>
      </x:c>
      <x:c r="C76" s="18" t="str">
        <x:v>G3.error_band_abs_pv_eu</x:v>
      </x:c>
      <x:c r="D76" s="18" t="str">
        <x:v>number</x:v>
      </x:c>
      <x:c r="E76" s="18" t="str">
        <x:v>PV_EU</x:v>
      </x:c>
      <x:c r="F76" s="18" t="str">
        <x:v>Commissioning required</x:v>
      </x:c>
      <x:c r="G76" s="18" t="str">
        <x:v>{"minimum": 0, "maximum": 1000000000000.0}</x:v>
      </x:c>
      <x:c r="H76" s="18" t="str">
        <x:v>POLICY</x:v>
      </x:c>
      <x:c r="I76" s="18" t="str">
        <x:v>Approved error band absolute contribution</x:v>
      </x:c>
      <x:c r="J76" s="22" t="str"/>
      <x:c r="K76" s="22" t="str">
        <x:v>Not assessed</x:v>
      </x:c>
    </x:row>
    <x:row r="77" ht="84" customHeight="1">
      <x:c r="A77" s="18" t="str">
        <x:v>CFG-073</x:v>
      </x:c>
      <x:c r="B77" s="18" t="str">
        <x:v>G3</x:v>
      </x:c>
      <x:c r="C77" s="18" t="str">
        <x:v>G3.error_band_span_fraction</x:v>
      </x:c>
      <x:c r="D77" s="18" t="str">
        <x:v>number</x:v>
      </x:c>
      <x:c r="E77" s="18" t="str">
        <x:v>fraction</x:v>
      </x:c>
      <x:c r="F77" s="18" t="str">
        <x:v>Commissioning required</x:v>
      </x:c>
      <x:c r="G77" s="18" t="str">
        <x:v>{"minimum": 0, "maximum": 1}</x:v>
      </x:c>
      <x:c r="H77" s="18" t="str">
        <x:v>POLICY</x:v>
      </x:c>
      <x:c r="I77" s="18" t="str">
        <x:v>Approved error band relative contribution</x:v>
      </x:c>
      <x:c r="J77" s="22" t="str"/>
      <x:c r="K77" s="22" t="str">
        <x:v>Not assessed</x:v>
      </x:c>
    </x:row>
    <x:row r="78" ht="84" customHeight="1">
      <x:c r="A78" s="18" t="str">
        <x:v>CFG-074</x:v>
      </x:c>
      <x:c r="B78" s="18" t="str">
        <x:v>G3</x:v>
      </x:c>
      <x:c r="C78" s="18" t="str">
        <x:v>G3.objective_compliance_min</x:v>
      </x:c>
      <x:c r="D78" s="18" t="str">
        <x:v>number</x:v>
      </x:c>
      <x:c r="E78" s="18" t="str">
        <x:v>fraction</x:v>
      </x:c>
      <x:c r="F78" s="18" t="str">
        <x:v>Commissioning required</x:v>
      </x:c>
      <x:c r="G78" s="18" t="str">
        <x:v>{"minimum": 0, "maximum": 1}</x:v>
      </x:c>
      <x:c r="H78" s="18" t="str">
        <x:v>POLICY</x:v>
      </x:c>
      <x:c r="I78" s="18" t="str">
        <x:v>Time-based target; no generic 50 percent healthy claim</x:v>
      </x:c>
      <x:c r="J78" s="22" t="str"/>
      <x:c r="K78" s="22" t="str">
        <x:v>Not assessed</x:v>
      </x:c>
    </x:row>
    <x:row r="79" ht="84" customHeight="1">
      <x:c r="A79" s="18" t="str">
        <x:v>CFG-075</x:v>
      </x:c>
      <x:c r="B79" s="18" t="str">
        <x:v>G3</x:v>
      </x:c>
      <x:c r="C79" s="18" t="str">
        <x:v>G3.ewma_alpha</x:v>
      </x:c>
      <x:c r="D79" s="18" t="str">
        <x:v>number</x:v>
      </x:c>
      <x:c r="E79" s="18" t="str">
        <x:v>fraction</x:v>
      </x:c>
      <x:c r="F79" s="18" t="n">
        <x:v>0.2</x:v>
      </x:c>
      <x:c r="G79" s="18" t="str">
        <x:v>{"minimum": 0.001, "maximum": 1}</x:v>
      </x:c>
      <x:c r="H79" s="18" t="str">
        <x:v>STATE_BOUNDARY</x:v>
      </x:c>
      <x:c r="I79" s="18" t="str">
        <x:v>Trend change detector alpha; baseline approval independent</x:v>
      </x:c>
      <x:c r="J79" s="22" t="str"/>
      <x:c r="K79" s="22" t="str">
        <x:v>Not assessed</x:v>
      </x:c>
    </x:row>
    <x:row r="80" ht="84" customHeight="1">
      <x:c r="A80" s="18" t="str">
        <x:v>CFG-076</x:v>
      </x:c>
      <x:c r="B80" s="18" t="str">
        <x:v>G3</x:v>
      </x:c>
      <x:c r="C80" s="18" t="str">
        <x:v>G3.baseline_min_valid_s</x:v>
      </x:c>
      <x:c r="D80" s="18" t="str">
        <x:v>number</x:v>
      </x:c>
      <x:c r="E80" s="18" t="str">
        <x:v>s</x:v>
      </x:c>
      <x:c r="F80" s="18" t="str">
        <x:v>Commissioning required</x:v>
      </x:c>
      <x:c r="G80" s="18" t="str">
        <x:v>{"minimum": 1, "maximum": 31536000}</x:v>
      </x:c>
      <x:c r="H80" s="18" t="str">
        <x:v>STATE_BOUNDARY</x:v>
      </x:c>
      <x:c r="I80" s="18" t="str">
        <x:v>Minimum comparable baseline support</x:v>
      </x:c>
      <x:c r="J80" s="22" t="str"/>
      <x:c r="K80" s="22" t="str">
        <x:v>Not assessed</x:v>
      </x:c>
    </x:row>
    <x:row r="81" ht="84" customHeight="1">
      <x:c r="A81" s="18" t="str">
        <x:v>CFG-077</x:v>
      </x:c>
      <x:c r="B81" s="18" t="str">
        <x:v>G4</x:v>
      </x:c>
      <x:c r="C81" s="18" t="str">
        <x:v>G4.activity_warn_ratio</x:v>
      </x:c>
      <x:c r="D81" s="18" t="str">
        <x:v>number</x:v>
      </x:c>
      <x:c r="E81" s="18" t="str">
        <x:v>dimensionless</x:v>
      </x:c>
      <x:c r="F81" s="18" t="str">
        <x:v>Commissioning required</x:v>
      </x:c>
      <x:c r="G81" s="18" t="str">
        <x:v>{"minimum": 0, "maximum": 10000}</x:v>
      </x:c>
      <x:c r="H81" s="18" t="str">
        <x:v>POLICY</x:v>
      </x:c>
      <x:c r="I81" s="18" t="str">
        <x:v>Ratio versus approved regime-specific activity reference, not valve proof</x:v>
      </x:c>
      <x:c r="J81" s="22" t="str"/>
      <x:c r="K81" s="22" t="str">
        <x:v>Not assessed</x:v>
      </x:c>
    </x:row>
    <x:row r="82" ht="84" customHeight="1">
      <x:c r="A82" s="18" t="str">
        <x:v>CFG-078</x:v>
      </x:c>
      <x:c r="B82" s="18" t="str">
        <x:v>G4</x:v>
      </x:c>
      <x:c r="C82" s="18" t="str">
        <x:v>G4.activity_high_ratio</x:v>
      </x:c>
      <x:c r="D82" s="18" t="str">
        <x:v>number</x:v>
      </x:c>
      <x:c r="E82" s="18" t="str">
        <x:v>dimensionless</x:v>
      </x:c>
      <x:c r="F82" s="18" t="str">
        <x:v>Commissioning required</x:v>
      </x:c>
      <x:c r="G82" s="18" t="str">
        <x:v>{"minimum": 0, "maximum": 10000}</x:v>
      </x:c>
      <x:c r="H82" s="18" t="str">
        <x:v>POLICY</x:v>
      </x:c>
      <x:c r="I82" s="18" t="str">
        <x:v>High ratio must exceed warning</x:v>
      </x:c>
      <x:c r="J82" s="22" t="str"/>
      <x:c r="K82" s="22" t="str">
        <x:v>Not assessed</x:v>
      </x:c>
    </x:row>
    <x:row r="83" ht="84" customHeight="1">
      <x:c r="A83" s="18" t="str">
        <x:v>CFG-079</x:v>
      </x:c>
      <x:c r="B83" s="18" t="str">
        <x:v>G4</x:v>
      </x:c>
      <x:c r="C83" s="18" t="str">
        <x:v>G4.reversal_deadband_pp</x:v>
      </x:c>
      <x:c r="D83" s="18" t="str">
        <x:v>number</x:v>
      </x:c>
      <x:c r="E83" s="18" t="str">
        <x:v>percentage_point</x:v>
      </x:c>
      <x:c r="F83" s="18" t="str">
        <x:v>Commissioning required</x:v>
      </x:c>
      <x:c r="G83" s="18" t="str">
        <x:v>{"minimum": 0, "maximum": 100}</x:v>
      </x:c>
      <x:c r="H83" s="18" t="str">
        <x:v>STATE_BOUNDARY</x:v>
      </x:c>
      <x:c r="I83" s="18" t="str">
        <x:v>Meaningful command movement threshold</x:v>
      </x:c>
      <x:c r="J83" s="22" t="str"/>
      <x:c r="K83" s="22" t="str">
        <x:v>Not assessed</x:v>
      </x:c>
    </x:row>
    <x:row r="84" ht="84" customHeight="1">
      <x:c r="A84" s="18" t="str">
        <x:v>CFG-080</x:v>
      </x:c>
      <x:c r="B84" s="18" t="str">
        <x:v>G4</x:v>
      </x:c>
      <x:c r="C84" s="18" t="str">
        <x:v>G4.min_pv_excitation_pv_eu</x:v>
      </x:c>
      <x:c r="D84" s="18" t="str">
        <x:v>number</x:v>
      </x:c>
      <x:c r="E84" s="18" t="str">
        <x:v>PV_EU</x:v>
      </x:c>
      <x:c r="F84" s="18" t="str">
        <x:v>Commissioning required</x:v>
      </x:c>
      <x:c r="G84" s="18" t="str">
        <x:v>{"minimum": 0, "maximum": 1000000000000.0}</x:v>
      </x:c>
      <x:c r="H84" s="18" t="str">
        <x:v>STATE_BOUNDARY</x:v>
      </x:c>
      <x:c r="I84" s="18" t="str">
        <x:v>Avoid unstable near-zero denominator; return unavailable</x:v>
      </x:c>
      <x:c r="J84" s="22" t="str"/>
      <x:c r="K84" s="22" t="str">
        <x:v>Not assessed</x:v>
      </x:c>
    </x:row>
    <x:row r="85" ht="84" customHeight="1">
      <x:c r="A85" s="18" t="str">
        <x:v>CFG-081</x:v>
      </x:c>
      <x:c r="B85" s="18" t="str">
        <x:v>G4</x:v>
      </x:c>
      <x:c r="C85" s="18" t="str">
        <x:v>G4.travel_rate_min_support_s</x:v>
      </x:c>
      <x:c r="D85" s="18" t="str">
        <x:v>number</x:v>
      </x:c>
      <x:c r="E85" s="18" t="str">
        <x:v>s</x:v>
      </x:c>
      <x:c r="F85" s="18" t="n">
        <x:v>3600</x:v>
      </x:c>
      <x:c r="G85" s="18" t="str">
        <x:v>{"minimum": 1, "maximum": 31536000}</x:v>
      </x:c>
      <x:c r="H85" s="18" t="str">
        <x:v>POLICY</x:v>
      </x:c>
      <x:c r="I85" s="18" t="str">
        <x:v>Minimum duration before rate extrapolation</x:v>
      </x:c>
      <x:c r="J85" s="22" t="str"/>
      <x:c r="K85" s="22" t="str">
        <x:v>Not assessed</x:v>
      </x:c>
    </x:row>
    <x:row r="86" ht="84" customHeight="1">
      <x:c r="A86" s="18" t="str">
        <x:v>CFG-082</x:v>
      </x:c>
      <x:c r="B86" s="18" t="str">
        <x:v>G5</x:v>
      </x:c>
      <x:c r="C86" s="18" t="str">
        <x:v>G5.period_min_s</x:v>
      </x:c>
      <x:c r="D86" s="18" t="str">
        <x:v>number</x:v>
      </x:c>
      <x:c r="E86" s="18" t="str">
        <x:v>s</x:v>
      </x:c>
      <x:c r="F86" s="18" t="str">
        <x:v>Commissioning required</x:v>
      </x:c>
      <x:c r="G86" s="18" t="str">
        <x:v>{"minimum": 0.001, "maximum": 31536000}</x:v>
      </x:c>
      <x:c r="H86" s="18" t="str">
        <x:v>STATE_BOUNDARY</x:v>
      </x:c>
      <x:c r="I86" s="18" t="str">
        <x:v>Lower resolvable period; must satisfy sampling contract</x:v>
      </x:c>
      <x:c r="J86" s="22" t="str"/>
      <x:c r="K86" s="22" t="str">
        <x:v>Not assessed</x:v>
      </x:c>
    </x:row>
    <x:row r="87" ht="84" customHeight="1">
      <x:c r="A87" s="18" t="str">
        <x:v>CFG-083</x:v>
      </x:c>
      <x:c r="B87" s="18" t="str">
        <x:v>G5</x:v>
      </x:c>
      <x:c r="C87" s="18" t="str">
        <x:v>G5.period_max_s</x:v>
      </x:c>
      <x:c r="D87" s="18" t="str">
        <x:v>number</x:v>
      </x:c>
      <x:c r="E87" s="18" t="str">
        <x:v>s</x:v>
      </x:c>
      <x:c r="F87" s="18" t="str">
        <x:v>Commissioning required</x:v>
      </x:c>
      <x:c r="G87" s="18" t="str">
        <x:v>{"minimum": 0.001, "maximum": 31536000}</x:v>
      </x:c>
      <x:c r="H87" s="18" t="str">
        <x:v>STATE_BOUNDARY</x:v>
      </x:c>
      <x:c r="I87" s="18" t="str">
        <x:v>Upper period &lt;= supported horizon/cycle policy</x:v>
      </x:c>
      <x:c r="J87" s="22" t="str"/>
      <x:c r="K87" s="22" t="str">
        <x:v>Not assessed</x:v>
      </x:c>
    </x:row>
    <x:row r="88" ht="84" customHeight="1">
      <x:c r="A88" s="18" t="str">
        <x:v>CFG-084</x:v>
      </x:c>
      <x:c r="B88" s="18" t="str">
        <x:v>G5</x:v>
      </x:c>
      <x:c r="C88" s="18" t="str">
        <x:v>G5.min_complete_cycles</x:v>
      </x:c>
      <x:c r="D88" s="18" t="str">
        <x:v>integer</x:v>
      </x:c>
      <x:c r="E88" s="18" t="str">
        <x:v>cycle</x:v>
      </x:c>
      <x:c r="F88" s="18" t="n">
        <x:v>5</x:v>
      </x:c>
      <x:c r="G88" s="18" t="str">
        <x:v>{"minimum": 2, "maximum": 1000}</x:v>
      </x:c>
      <x:c r="H88" s="18" t="str">
        <x:v>POLICY</x:v>
      </x:c>
      <x:c r="I88" s="18" t="str">
        <x:v>Commissioning starting proposal; accepted complete cycles</x:v>
      </x:c>
      <x:c r="J88" s="22" t="str"/>
      <x:c r="K88" s="22" t="str">
        <x:v>Not assessed</x:v>
      </x:c>
    </x:row>
    <x:row r="89" ht="84" customHeight="1">
      <x:c r="A89" s="18" t="str">
        <x:v>CFG-085</x:v>
      </x:c>
      <x:c r="B89" s="18" t="str">
        <x:v>G5</x:v>
      </x:c>
      <x:c r="C89" s="18" t="str">
        <x:v>G5.min_samples_per_period</x:v>
      </x:c>
      <x:c r="D89" s="18" t="str">
        <x:v>integer</x:v>
      </x:c>
      <x:c r="E89" s="18" t="str">
        <x:v>sample/cycle</x:v>
      </x:c>
      <x:c r="F89" s="18" t="n">
        <x:v>8</x:v>
      </x:c>
      <x:c r="G89" s="18" t="str">
        <x:v>{"minimum": 4, "maximum": 1000}</x:v>
      </x:c>
      <x:c r="H89" s="18" t="str">
        <x:v>POLICY</x:v>
      </x:c>
      <x:c r="I89" s="18" t="str">
        <x:v>At least method capability floor; shape may require more</x:v>
      </x:c>
      <x:c r="J89" s="22" t="str"/>
      <x:c r="K89" s="22" t="str">
        <x:v>Not assessed</x:v>
      </x:c>
    </x:row>
    <x:row r="90" ht="84" customHeight="1">
      <x:c r="A90" s="18" t="str">
        <x:v>CFG-086</x:v>
      </x:c>
      <x:c r="B90" s="18" t="str">
        <x:v>G5</x:v>
      </x:c>
      <x:c r="C90" s="18" t="str">
        <x:v>G5.regularity_min</x:v>
      </x:c>
      <x:c r="D90" s="18" t="str">
        <x:v>number</x:v>
      </x:c>
      <x:c r="E90" s="18" t="str">
        <x:v>fraction</x:v>
      </x:c>
      <x:c r="F90" s="18" t="str">
        <x:v>Commissioning required</x:v>
      </x:c>
      <x:c r="G90" s="18" t="str">
        <x:v>{"minimum": 0, "maximum": 1}</x:v>
      </x:c>
      <x:c r="H90" s="18" t="str">
        <x:v>POLICY</x:v>
      </x:c>
      <x:c r="I90" s="18" t="str">
        <x:v>Method-specific regularity criterion</x:v>
      </x:c>
      <x:c r="J90" s="22" t="str"/>
      <x:c r="K90" s="22" t="str">
        <x:v>Not assessed</x:v>
      </x:c>
    </x:row>
    <x:row r="91" ht="84" customHeight="1">
      <x:c r="A91" s="18" t="str">
        <x:v>CFG-087</x:v>
      </x:c>
      <x:c r="B91" s="18" t="str">
        <x:v>G5</x:v>
      </x:c>
      <x:c r="C91" s="18" t="str">
        <x:v>G5.acf_lag_max_s</x:v>
      </x:c>
      <x:c r="D91" s="18" t="str">
        <x:v>number</x:v>
      </x:c>
      <x:c r="E91" s="18" t="str">
        <x:v>s</x:v>
      </x:c>
      <x:c r="F91" s="18" t="str">
        <x:v>Commissioning required</x:v>
      </x:c>
      <x:c r="G91" s="18" t="str">
        <x:v>{"minimum": 0.001, "maximum": 31536000}</x:v>
      </x:c>
      <x:c r="H91" s="18" t="str">
        <x:v>STATE_BOUNDARY</x:v>
      </x:c>
      <x:c r="I91" s="18" t="str">
        <x:v>Physical lag cap within signal support</x:v>
      </x:c>
      <x:c r="J91" s="22" t="str"/>
      <x:c r="K91" s="22" t="str">
        <x:v>Not assessed</x:v>
      </x:c>
    </x:row>
    <x:row r="92" ht="84" customHeight="1">
      <x:c r="A92" s="18" t="str">
        <x:v>CFG-088</x:v>
      </x:c>
      <x:c r="B92" s="18" t="str">
        <x:v>G6</x:v>
      </x:c>
      <x:c r="C92" s="18" t="str">
        <x:v>G6.period_min_s</x:v>
      </x:c>
      <x:c r="D92" s="18" t="str">
        <x:v>number</x:v>
      </x:c>
      <x:c r="E92" s="18" t="str">
        <x:v>s</x:v>
      </x:c>
      <x:c r="F92" s="18" t="str">
        <x:v>Commissioning required</x:v>
      </x:c>
      <x:c r="G92" s="18" t="str">
        <x:v>{"minimum": 0.001, "maximum": 31536000}</x:v>
      </x:c>
      <x:c r="H92" s="18" t="str">
        <x:v>STATE_BOUNDARY</x:v>
      </x:c>
      <x:c r="I92" s="18" t="str">
        <x:v>Qualified period lower bound</x:v>
      </x:c>
      <x:c r="J92" s="22" t="str"/>
      <x:c r="K92" s="22" t="str">
        <x:v>Not assessed</x:v>
      </x:c>
    </x:row>
    <x:row r="93" ht="84" customHeight="1">
      <x:c r="A93" s="18" t="str">
        <x:v>CFG-089</x:v>
      </x:c>
      <x:c r="B93" s="18" t="str">
        <x:v>G6</x:v>
      </x:c>
      <x:c r="C93" s="18" t="str">
        <x:v>G6.period_max_s</x:v>
      </x:c>
      <x:c r="D93" s="18" t="str">
        <x:v>number</x:v>
      </x:c>
      <x:c r="E93" s="18" t="str">
        <x:v>s</x:v>
      </x:c>
      <x:c r="F93" s="18" t="str">
        <x:v>Commissioning required</x:v>
      </x:c>
      <x:c r="G93" s="18" t="str">
        <x:v>{"minimum": 0.001, "maximum": 31536000}</x:v>
      </x:c>
      <x:c r="H93" s="18" t="str">
        <x:v>STATE_BOUNDARY</x:v>
      </x:c>
      <x:c r="I93" s="18" t="str">
        <x:v>Qualified period upper bound</x:v>
      </x:c>
      <x:c r="J93" s="22" t="str"/>
      <x:c r="K93" s="22" t="str">
        <x:v>Not assessed</x:v>
      </x:c>
    </x:row>
    <x:row r="94" ht="84" customHeight="1">
      <x:c r="A94" s="18" t="str">
        <x:v>CFG-090</x:v>
      </x:c>
      <x:c r="B94" s="18" t="str">
        <x:v>G6</x:v>
      </x:c>
      <x:c r="C94" s="18" t="str">
        <x:v>G6.peak_to_background_min</x:v>
      </x:c>
      <x:c r="D94" s="18" t="str">
        <x:v>number</x:v>
      </x:c>
      <x:c r="E94" s="18" t="str">
        <x:v>ratio</x:v>
      </x:c>
      <x:c r="F94" s="18" t="str">
        <x:v>Commissioning required</x:v>
      </x:c>
      <x:c r="G94" s="18" t="str">
        <x:v>{"minimum": 1, "maximum": 100000}</x:v>
      </x:c>
      <x:c r="H94" s="18" t="str">
        <x:v>POLICY</x:v>
      </x:c>
      <x:c r="I94" s="18" t="str">
        <x:v>Defined spectral estimator and background statistic</x:v>
      </x:c>
      <x:c r="J94" s="22" t="str"/>
      <x:c r="K94" s="22" t="str">
        <x:v>Not assessed</x:v>
      </x:c>
    </x:row>
    <x:row r="95" ht="84" customHeight="1">
      <x:c r="A95" s="18" t="str">
        <x:v>CFG-091</x:v>
      </x:c>
      <x:c r="B95" s="18" t="str">
        <x:v>G6</x:v>
      </x:c>
      <x:c r="C95" s="18" t="str">
        <x:v>G6.spectral_concentration_warn</x:v>
      </x:c>
      <x:c r="D95" s="18" t="str">
        <x:v>number</x:v>
      </x:c>
      <x:c r="E95" s="18" t="str">
        <x:v>fraction</x:v>
      </x:c>
      <x:c r="F95" s="18" t="str">
        <x:v>Commissioning required</x:v>
      </x:c>
      <x:c r="G95" s="18" t="str">
        <x:v>{"minimum": 0, "maximum": 1}</x:v>
      </x:c>
      <x:c r="H95" s="18" t="str">
        <x:v>POLICY</x:v>
      </x:c>
      <x:c r="I95" s="18" t="str">
        <x:v>Denominator and band declared by method</x:v>
      </x:c>
      <x:c r="J95" s="22" t="str"/>
      <x:c r="K95" s="22" t="str">
        <x:v>Not assessed</x:v>
      </x:c>
    </x:row>
    <x:row r="96" ht="84" customHeight="1">
      <x:c r="A96" s="18" t="str">
        <x:v>CFG-092</x:v>
      </x:c>
      <x:c r="B96" s="18" t="str">
        <x:v>G6</x:v>
      </x:c>
      <x:c r="C96" s="18" t="str">
        <x:v>G6.segment_samples</x:v>
      </x:c>
      <x:c r="D96" s="18" t="str">
        <x:v>integer</x:v>
      </x:c>
      <x:c r="E96" s="18" t="str">
        <x:v>sample</x:v>
      </x:c>
      <x:c r="F96" s="18" t="n">
        <x:v>256</x:v>
      </x:c>
      <x:c r="G96" s="18" t="str">
        <x:v>{"minimum": 16, "maximum": 1048576}</x:v>
      </x:c>
      <x:c r="H96" s="18" t="str">
        <x:v>STATE_BOUNDARY</x:v>
      </x:c>
      <x:c r="I96" s="18" t="str">
        <x:v>For installed Welch adapter only; enough segments required</x:v>
      </x:c>
      <x:c r="J96" s="22" t="str"/>
      <x:c r="K96" s="22" t="str">
        <x:v>Not assessed</x:v>
      </x:c>
    </x:row>
    <x:row r="97" ht="84" customHeight="1">
      <x:c r="A97" s="18" t="str">
        <x:v>CFG-093</x:v>
      </x:c>
      <x:c r="B97" s="18" t="str">
        <x:v>G6</x:v>
      </x:c>
      <x:c r="C97" s="18" t="str">
        <x:v>G6.overlap_fraction</x:v>
      </x:c>
      <x:c r="D97" s="18" t="str">
        <x:v>number</x:v>
      </x:c>
      <x:c r="E97" s="18" t="str">
        <x:v>fraction</x:v>
      </x:c>
      <x:c r="F97" s="18" t="n">
        <x:v>0.5</x:v>
      </x:c>
      <x:c r="G97" s="18" t="str">
        <x:v>{"minimum": 0, "maximum": 0.95}</x:v>
      </x:c>
      <x:c r="H97" s="18" t="str">
        <x:v>STATE_BOUNDARY</x:v>
      </x:c>
      <x:c r="I97" s="18" t="str">
        <x:v>For installed segmented estimator; state budget checked</x:v>
      </x:c>
      <x:c r="J97" s="22" t="str"/>
      <x:c r="K97" s="22" t="str">
        <x:v>Not assessed</x:v>
      </x:c>
    </x:row>
    <x:row r="98" ht="84" customHeight="1">
      <x:c r="A98" s="18" t="str">
        <x:v>CFG-094</x:v>
      </x:c>
      <x:c r="B98" s="18" t="str">
        <x:v>G6</x:v>
      </x:c>
      <x:c r="C98" s="18" t="str">
        <x:v>G6.harmonic_max_order</x:v>
      </x:c>
      <x:c r="D98" s="18" t="str">
        <x:v>integer</x:v>
      </x:c>
      <x:c r="E98" s="18" t="str">
        <x:v>harmonic</x:v>
      </x:c>
      <x:c r="F98" s="18" t="n">
        <x:v>5</x:v>
      </x:c>
      <x:c r="G98" s="18" t="str">
        <x:v>{"minimum": 2, "maximum": 20}</x:v>
      </x:c>
      <x:c r="H98" s="18" t="str">
        <x:v>STATE_BOUNDARY</x:v>
      </x:c>
      <x:c r="I98" s="18" t="str">
        <x:v>Only resolvable harmonics accepted</x:v>
      </x:c>
      <x:c r="J98" s="22" t="str"/>
      <x:c r="K98" s="22" t="str">
        <x:v>Not assessed</x:v>
      </x:c>
    </x:row>
    <x:row r="99" ht="84" customHeight="1">
      <x:c r="A99" s="18" t="str">
        <x:v>CFG-095</x:v>
      </x:c>
      <x:c r="B99" s="18" t="str">
        <x:v>G7</x:v>
      </x:c>
      <x:c r="C99" s="18" t="str">
        <x:v>G7.shape_score_warn</x:v>
      </x:c>
      <x:c r="D99" s="18" t="str">
        <x:v>number</x:v>
      </x:c>
      <x:c r="E99" s="18" t="str">
        <x:v>fraction</x:v>
      </x:c>
      <x:c r="F99" s="18" t="str">
        <x:v>Commissioning required</x:v>
      </x:c>
      <x:c r="G99" s="18" t="str">
        <x:v>{"minimum": 0, "maximum": 1}</x:v>
      </x:c>
      <x:c r="H99" s="18" t="str">
        <x:v>POLICY</x:v>
      </x:c>
      <x:c r="I99" s="18" t="str">
        <x:v>Exact template-fit score; non-unique fault evidence</x:v>
      </x:c>
      <x:c r="J99" s="22" t="str"/>
      <x:c r="K99" s="22" t="str">
        <x:v>Not assessed</x:v>
      </x:c>
    </x:row>
    <x:row r="100" ht="84" customHeight="1">
      <x:c r="A100" s="18" t="str">
        <x:v>CFG-096</x:v>
      </x:c>
      <x:c r="B100" s="18" t="str">
        <x:v>G7</x:v>
      </x:c>
      <x:c r="C100" s="18" t="str">
        <x:v>G7.shape_score_high</x:v>
      </x:c>
      <x:c r="D100" s="18" t="str">
        <x:v>number</x:v>
      </x:c>
      <x:c r="E100" s="18" t="str">
        <x:v>fraction</x:v>
      </x:c>
      <x:c r="F100" s="18" t="str">
        <x:v>Commissioning required</x:v>
      </x:c>
      <x:c r="G100" s="18" t="str">
        <x:v>{"minimum": 0, "maximum": 1}</x:v>
      </x:c>
      <x:c r="H100" s="18" t="str">
        <x:v>POLICY</x:v>
      </x:c>
      <x:c r="I100" s="18" t="str">
        <x:v>High &gt;= warning</x:v>
      </x:c>
      <x:c r="J100" s="22" t="str"/>
      <x:c r="K100" s="22" t="str">
        <x:v>Not assessed</x:v>
      </x:c>
    </x:row>
    <x:row r="101" ht="84" customHeight="1">
      <x:c r="A101" s="18" t="str">
        <x:v>CFG-097</x:v>
      </x:c>
      <x:c r="B101" s="18" t="str">
        <x:v>G7</x:v>
      </x:c>
      <x:c r="C101" s="18" t="str">
        <x:v>G7.min_accepted_cycles</x:v>
      </x:c>
      <x:c r="D101" s="18" t="str">
        <x:v>integer</x:v>
      </x:c>
      <x:c r="E101" s="18" t="str">
        <x:v>cycle</x:v>
      </x:c>
      <x:c r="F101" s="18" t="n">
        <x:v>5</x:v>
      </x:c>
      <x:c r="G101" s="18" t="str">
        <x:v>{"minimum": 2, "maximum": 1000}</x:v>
      </x:c>
      <x:c r="H101" s="18" t="str">
        <x:v>POLICY</x:v>
      </x:c>
      <x:c r="I101" s="18" t="str">
        <x:v>Cycle-qualified fit minimum</x:v>
      </x:c>
      <x:c r="J101" s="22" t="str"/>
      <x:c r="K101" s="22" t="str">
        <x:v>Not assessed</x:v>
      </x:c>
    </x:row>
    <x:row r="102" ht="84" customHeight="1">
      <x:c r="A102" s="18" t="str">
        <x:v>CFG-098</x:v>
      </x:c>
      <x:c r="B102" s="18" t="str">
        <x:v>G7</x:v>
      </x:c>
      <x:c r="C102" s="18" t="str">
        <x:v>G7.min_cycle_amplitude</x:v>
      </x:c>
      <x:c r="D102" s="18" t="str">
        <x:v>number</x:v>
      </x:c>
      <x:c r="E102" s="18" t="str">
        <x:v>selected_signal_EU</x:v>
      </x:c>
      <x:c r="F102" s="18" t="str">
        <x:v>Commissioning required</x:v>
      </x:c>
      <x:c r="G102" s="18" t="str">
        <x:v>{"minimum": 0, "maximum": 1000000000000.0}</x:v>
      </x:c>
      <x:c r="H102" s="18" t="str">
        <x:v>STATE_BOUNDARY</x:v>
      </x:c>
      <x:c r="I102" s="18" t="str">
        <x:v>Cycle amplitude relative to commissioned noise floor</x:v>
      </x:c>
      <x:c r="J102" s="22" t="str"/>
      <x:c r="K102" s="22" t="str">
        <x:v>Not assessed</x:v>
      </x:c>
    </x:row>
    <x:row r="103" ht="84" customHeight="1">
      <x:c r="A103" s="18" t="str">
        <x:v>CFG-099</x:v>
      </x:c>
      <x:c r="B103" s="18" t="str">
        <x:v>G8</x:v>
      </x:c>
      <x:c r="C103" s="18" t="str">
        <x:v>G8.max_lag_s</x:v>
      </x:c>
      <x:c r="D103" s="18" t="str">
        <x:v>number</x:v>
      </x:c>
      <x:c r="E103" s="18" t="str">
        <x:v>s</x:v>
      </x:c>
      <x:c r="F103" s="18" t="str">
        <x:v>Commissioning required</x:v>
      </x:c>
      <x:c r="G103" s="18" t="str">
        <x:v>{"minimum": 0.001, "maximum": 31536000}</x:v>
      </x:c>
      <x:c r="H103" s="18" t="str">
        <x:v>STATE_BOUNDARY</x:v>
      </x:c>
      <x:c r="I103" s="18" t="str">
        <x:v>Physical lag, not fixed 200-sample hidden domain</x:v>
      </x:c>
      <x:c r="J103" s="22" t="str"/>
      <x:c r="K103" s="22" t="str">
        <x:v>Not assessed</x:v>
      </x:c>
    </x:row>
    <x:row r="104" ht="84" customHeight="1">
      <x:c r="A104" s="18" t="str">
        <x:v>CFG-100</x:v>
      </x:c>
      <x:c r="B104" s="18" t="str">
        <x:v>G8</x:v>
      </x:c>
      <x:c r="C104" s="18" t="str">
        <x:v>G8.asymmetry_display_threshold</x:v>
      </x:c>
      <x:c r="D104" s="18" t="str">
        <x:v>number</x:v>
      </x:c>
      <x:c r="E104" s="18" t="str">
        <x:v>fraction</x:v>
      </x:c>
      <x:c r="F104" s="18" t="str">
        <x:v>Commissioning required</x:v>
      </x:c>
      <x:c r="G104" s="18" t="str">
        <x:v>{"minimum": 0, "maximum": 1}</x:v>
      </x:c>
      <x:c r="H104" s="18" t="str">
        <x:v>POLICY</x:v>
      </x:c>
      <x:c r="I104" s="18" t="str">
        <x:v>Display feature; cannot independently confirm nonlinearity</x:v>
      </x:c>
      <x:c r="J104" s="22" t="str"/>
      <x:c r="K104" s="22" t="str">
        <x:v>Not assessed</x:v>
      </x:c>
    </x:row>
    <x:row r="105" ht="84" customHeight="1">
      <x:c r="A105" s="18" t="str">
        <x:v>CFG-101</x:v>
      </x:c>
      <x:c r="B105" s="18" t="str">
        <x:v>G8</x:v>
      </x:c>
      <x:c r="C105" s="18" t="str">
        <x:v>G8.surrogate_repetitions</x:v>
      </x:c>
      <x:c r="D105" s="18" t="str">
        <x:v>integer</x:v>
      </x:c>
      <x:c r="E105" s="18" t="str">
        <x:v>count</x:v>
      </x:c>
      <x:c r="F105" s="18" t="n">
        <x:v>199</x:v>
      </x:c>
      <x:c r="G105" s="18" t="str">
        <x:v>{"minimum": 19, "maximum": 9999}</x:v>
      </x:c>
      <x:c r="H105" s="18" t="str">
        <x:v>STATE_BOUNDARY</x:v>
      </x:c>
      <x:c r="I105" s="18" t="str">
        <x:v>Only installed validated surrogate adapter</x:v>
      </x:c>
      <x:c r="J105" s="22" t="str"/>
      <x:c r="K105" s="22" t="str">
        <x:v>Not assessed</x:v>
      </x:c>
    </x:row>
    <x:row r="106" ht="84" customHeight="1">
      <x:c r="A106" s="18" t="str">
        <x:v>CFG-102</x:v>
      </x:c>
      <x:c r="B106" s="18" t="str">
        <x:v>G8</x:v>
      </x:c>
      <x:c r="C106" s="18" t="str">
        <x:v>G8.significance_alpha</x:v>
      </x:c>
      <x:c r="D106" s="18" t="str">
        <x:v>number</x:v>
      </x:c>
      <x:c r="E106" s="18" t="str">
        <x:v>fraction</x:v>
      </x:c>
      <x:c r="F106" s="18" t="n">
        <x:v>0.05</x:v>
      </x:c>
      <x:c r="G106" s="18" t="str">
        <x:v>{"minimum": 0.001, "maximum": 0.2}</x:v>
      </x:c>
      <x:c r="H106" s="18" t="str">
        <x:v>POLICY</x:v>
      </x:c>
      <x:c r="I106" s="18" t="str">
        <x:v>Multiplicity/support correction still required</x:v>
      </x:c>
      <x:c r="J106" s="22" t="str"/>
      <x:c r="K106" s="22" t="str">
        <x:v>Not assessed</x:v>
      </x:c>
    </x:row>
    <x:row r="107" ht="84" customHeight="1">
      <x:c r="A107" s="18" t="str">
        <x:v>CFG-103</x:v>
      </x:c>
      <x:c r="B107" s="18" t="str">
        <x:v>G9</x:v>
      </x:c>
      <x:c r="C107" s="18" t="str">
        <x:v>G9.min_accepted_cycles</x:v>
      </x:c>
      <x:c r="D107" s="18" t="str">
        <x:v>integer</x:v>
      </x:c>
      <x:c r="E107" s="18" t="str">
        <x:v>cycle</x:v>
      </x:c>
      <x:c r="F107" s="18" t="n">
        <x:v>5</x:v>
      </x:c>
      <x:c r="G107" s="18" t="str">
        <x:v>{"minimum": 2, "maximum": 1000}</x:v>
      </x:c>
      <x:c r="H107" s="18" t="str">
        <x:v>POLICY</x:v>
      </x:c>
      <x:c r="I107" s="18" t="str">
        <x:v>Actual complete phase-plane cycles</x:v>
      </x:c>
      <x:c r="J107" s="22" t="str"/>
      <x:c r="K107" s="22" t="str">
        <x:v>Not assessed</x:v>
      </x:c>
    </x:row>
    <x:row r="108" ht="84" customHeight="1">
      <x:c r="A108" s="18" t="str">
        <x:v>CFG-104</x:v>
      </x:c>
      <x:c r="B108" s="18" t="str">
        <x:v>G9</x:v>
      </x:c>
      <x:c r="C108" s="18" t="str">
        <x:v>G9.area_valid_min</x:v>
      </x:c>
      <x:c r="D108" s="18" t="str">
        <x:v>number</x:v>
      </x:c>
      <x:c r="E108" s="18" t="str">
        <x:v>dimensionless</x:v>
      </x:c>
      <x:c r="F108" s="18" t="n">
        <x:v>0.05</x:v>
      </x:c>
      <x:c r="G108" s="18" t="str">
        <x:v>{"minimum": 0, "maximum": 10}</x:v>
      </x:c>
      <x:c r="H108" s="18" t="str">
        <x:v>POLICY</x:v>
      </x:c>
      <x:c r="I108" s="18" t="str">
        <x:v>Estimator-specific normalized area qualification</x:v>
      </x:c>
      <x:c r="J108" s="22" t="str"/>
      <x:c r="K108" s="22" t="str">
        <x:v>Not assessed</x:v>
      </x:c>
    </x:row>
    <x:row r="109" ht="84" customHeight="1">
      <x:c r="A109" s="18" t="str">
        <x:v>CFG-105</x:v>
      </x:c>
      <x:c r="B109" s="18" t="str">
        <x:v>G9</x:v>
      </x:c>
      <x:c r="C109" s="18" t="str">
        <x:v>G9.area_valid_max</x:v>
      </x:c>
      <x:c r="D109" s="18" t="str">
        <x:v>number</x:v>
      </x:c>
      <x:c r="E109" s="18" t="str">
        <x:v>dimensionless</x:v>
      </x:c>
      <x:c r="F109" s="18" t="n">
        <x:v>1.5</x:v>
      </x:c>
      <x:c r="G109" s="18" t="str">
        <x:v>{"minimum": 0, "maximum": 10}</x:v>
      </x:c>
      <x:c r="H109" s="18" t="str">
        <x:v>POLICY</x:v>
      </x:c>
      <x:c r="I109" s="18" t="str">
        <x:v>Upper bound above lower; not automatic diagnosis</x:v>
      </x:c>
      <x:c r="J109" s="22" t="str"/>
      <x:c r="K109" s="22" t="str">
        <x:v>Not assessed</x:v>
      </x:c>
    </x:row>
    <x:row r="110" ht="84" customHeight="1">
      <x:c r="A110" s="18" t="str">
        <x:v>CFG-106</x:v>
      </x:c>
      <x:c r="B110" s="18" t="str">
        <x:v>G9</x:v>
      </x:c>
      <x:c r="C110" s="18" t="str">
        <x:v>G9.area_display_threshold</x:v>
      </x:c>
      <x:c r="D110" s="18" t="str">
        <x:v>number</x:v>
      </x:c>
      <x:c r="E110" s="18" t="str">
        <x:v>dimensionless</x:v>
      </x:c>
      <x:c r="F110" s="18" t="n">
        <x:v>0.3</x:v>
      </x:c>
      <x:c r="G110" s="18" t="str">
        <x:v>{"minimum": 0, "maximum": 10}</x:v>
      </x:c>
      <x:c r="H110" s="18" t="str">
        <x:v>POLICY</x:v>
      </x:c>
      <x:c r="I110" s="18" t="str">
        <x:v>Supporting geometry interpretation only</x:v>
      </x:c>
      <x:c r="J110" s="22" t="str"/>
      <x:c r="K110" s="22" t="str">
        <x:v>Not assessed</x:v>
      </x:c>
    </x:row>
    <x:row r="111" ht="84" customHeight="1">
      <x:c r="A111" s="18" t="str">
        <x:v>CFG-107</x:v>
      </x:c>
      <x:c r="B111" s="18" t="str">
        <x:v>G9</x:v>
      </x:c>
      <x:c r="C111" s="18" t="str">
        <x:v>G9.corner_angle_deg</x:v>
      </x:c>
      <x:c r="D111" s="18" t="str">
        <x:v>number</x:v>
      </x:c>
      <x:c r="E111" s="18" t="str">
        <x:v>degree</x:v>
      </x:c>
      <x:c r="F111" s="18" t="str">
        <x:v>Commissioning required</x:v>
      </x:c>
      <x:c r="G111" s="18" t="str">
        <x:v>{"minimum": 0, "maximum": 180}</x:v>
      </x:c>
      <x:c r="H111" s="18" t="str">
        <x:v>STATE_BOUNDARY</x:v>
      </x:c>
      <x:c r="I111" s="18" t="str">
        <x:v>Exact cycle/corner method</x:v>
      </x:c>
      <x:c r="J111" s="22" t="str"/>
      <x:c r="K111" s="22" t="str">
        <x:v>Not assessed</x:v>
      </x:c>
    </x:row>
    <x:row r="112" ht="84" customHeight="1">
      <x:c r="A112" s="18" t="str">
        <x:v>CFG-108</x:v>
      </x:c>
      <x:c r="B112" s="18" t="str">
        <x:v>G9</x:v>
      </x:c>
      <x:c r="C112" s="18" t="str">
        <x:v>G9.min_command_range_pp</x:v>
      </x:c>
      <x:c r="D112" s="18" t="str">
        <x:v>number</x:v>
      </x:c>
      <x:c r="E112" s="18" t="str">
        <x:v>percentage_point</x:v>
      </x:c>
      <x:c r="F112" s="18" t="str">
        <x:v>Commissioning required</x:v>
      </x:c>
      <x:c r="G112" s="18" t="str">
        <x:v>{"minimum": 0, "maximum": 100}</x:v>
      </x:c>
      <x:c r="H112" s="18" t="str">
        <x:v>POLICY</x:v>
      </x:c>
      <x:c r="I112" s="18" t="str">
        <x:v>Observed command range floor</x:v>
      </x:c>
      <x:c r="J112" s="22" t="str"/>
      <x:c r="K112" s="22" t="str">
        <x:v>Not assessed</x:v>
      </x:c>
    </x:row>
    <x:row r="113" ht="84" customHeight="1">
      <x:c r="A113" s="18" t="str">
        <x:v>CFG-109</x:v>
      </x:c>
      <x:c r="B113" s="18" t="str">
        <x:v>G9</x:v>
      </x:c>
      <x:c r="C113" s="18" t="str">
        <x:v>G9.geometry_contribution_cap</x:v>
      </x:c>
      <x:c r="D113" s="18" t="str">
        <x:v>number</x:v>
      </x:c>
      <x:c r="E113" s="18" t="str">
        <x:v>fraction</x:v>
      </x:c>
      <x:c r="F113" s="18" t="str">
        <x:v>Commissioning required</x:v>
      </x:c>
      <x:c r="G113" s="18" t="str">
        <x:v>{"minimum": 0, "maximum": 1}</x:v>
      </x:c>
      <x:c r="H113" s="18" t="str">
        <x:v>POLICY</x:v>
      </x:c>
      <x:c r="I113" s="18" t="str">
        <x:v>Evidence-group policy bound, cannot override capability restrictions</x:v>
      </x:c>
      <x:c r="J113" s="22" t="str"/>
      <x:c r="K113" s="22" t="str">
        <x:v>Not assessed</x:v>
      </x:c>
    </x:row>
    <x:row r="114" ht="84" customHeight="1">
      <x:c r="A114" s="18" t="str">
        <x:v>CFG-110</x:v>
      </x:c>
      <x:c r="B114" s="18" t="str">
        <x:v>G10</x:v>
      </x:c>
      <x:c r="C114" s="18" t="str">
        <x:v>G10.limit_tolerance_pp</x:v>
      </x:c>
      <x:c r="D114" s="18" t="str">
        <x:v>number</x:v>
      </x:c>
      <x:c r="E114" s="18" t="str">
        <x:v>percentage_point</x:v>
      </x:c>
      <x:c r="F114" s="18" t="str">
        <x:v>Commissioning required</x:v>
      </x:c>
      <x:c r="G114" s="18" t="str">
        <x:v>{"minimum": 0, "maximum": 100}</x:v>
      </x:c>
      <x:c r="H114" s="18" t="str">
        <x:v>STATE_BOUNDARY</x:v>
      </x:c>
      <x:c r="I114" s="18" t="str">
        <x:v>Compare with actual time-valid output limits</x:v>
      </x:c>
      <x:c r="J114" s="22" t="str"/>
      <x:c r="K114" s="22" t="str">
        <x:v>Not assessed</x:v>
      </x:c>
    </x:row>
    <x:row r="115" ht="84" customHeight="1">
      <x:c r="A115" s="18" t="str">
        <x:v>CFG-111</x:v>
      </x:c>
      <x:c r="B115" s="18" t="str">
        <x:v>G10</x:v>
      </x:c>
      <x:c r="C115" s="18" t="str">
        <x:v>G10.limit_dwell_warn_s</x:v>
      </x:c>
      <x:c r="D115" s="18" t="str">
        <x:v>number</x:v>
      </x:c>
      <x:c r="E115" s="18" t="str">
        <x:v>s</x:v>
      </x:c>
      <x:c r="F115" s="18" t="str">
        <x:v>Commissioning required</x:v>
      </x:c>
      <x:c r="G115" s="18" t="str">
        <x:v>{"minimum": 0.001, "maximum": 86400}</x:v>
      </x:c>
      <x:c r="H115" s="18" t="str">
        <x:v>POLICY</x:v>
      </x:c>
      <x:c r="I115" s="18" t="str">
        <x:v>Physical at-limit dwell</x:v>
      </x:c>
      <x:c r="J115" s="22" t="str"/>
      <x:c r="K115" s="22" t="str">
        <x:v>Not assessed</x:v>
      </x:c>
    </x:row>
    <x:row r="116" ht="84" customHeight="1">
      <x:c r="A116" s="18" t="str">
        <x:v>CFG-112</x:v>
      </x:c>
      <x:c r="B116" s="18" t="str">
        <x:v>G10</x:v>
      </x:c>
      <x:c r="C116" s="18" t="str">
        <x:v>G10.occupancy_warn_fraction</x:v>
      </x:c>
      <x:c r="D116" s="18" t="str">
        <x:v>number</x:v>
      </x:c>
      <x:c r="E116" s="18" t="str">
        <x:v>fraction</x:v>
      </x:c>
      <x:c r="F116" s="18" t="str">
        <x:v>Commissioning required</x:v>
      </x:c>
      <x:c r="G116" s="18" t="str">
        <x:v>{"minimum": 0, "maximum": 1}</x:v>
      </x:c>
      <x:c r="H116" s="18" t="str">
        <x:v>POLICY</x:v>
      </x:c>
      <x:c r="I116" s="18" t="str">
        <x:v>Valid-time occupancy</x:v>
      </x:c>
      <x:c r="J116" s="22" t="str"/>
      <x:c r="K116" s="22" t="str">
        <x:v>Not assessed</x:v>
      </x:c>
    </x:row>
    <x:row r="117" ht="84" customHeight="1">
      <x:c r="A117" s="18" t="str">
        <x:v>CFG-113</x:v>
      </x:c>
      <x:c r="B117" s="18" t="str">
        <x:v>G10</x:v>
      </x:c>
      <x:c r="C117" s="18" t="str">
        <x:v>G10.nonfollowing_error_pp</x:v>
      </x:c>
      <x:c r="D117" s="18" t="str">
        <x:v>number</x:v>
      </x:c>
      <x:c r="E117" s="18" t="str">
        <x:v>percentage_point</x:v>
      </x:c>
      <x:c r="F117" s="18" t="str">
        <x:v>Commissioning required</x:v>
      </x:c>
      <x:c r="G117" s="18" t="str">
        <x:v>{"minimum": 0, "maximum": 100}</x:v>
      </x:c>
      <x:c r="H117" s="18" t="str">
        <x:v>STATE_BOUNDARY</x:v>
      </x:c>
      <x:c r="I117" s="18" t="str">
        <x:v>Aligned actual demand minus valid VP</x:v>
      </x:c>
      <x:c r="J117" s="22" t="str"/>
      <x:c r="K117" s="22" t="str">
        <x:v>Not assessed</x:v>
      </x:c>
    </x:row>
    <x:row r="118" ht="84" customHeight="1">
      <x:c r="A118" s="18" t="str">
        <x:v>CFG-114</x:v>
      </x:c>
      <x:c r="B118" s="18" t="str">
        <x:v>G10</x:v>
      </x:c>
      <x:c r="C118" s="18" t="str">
        <x:v>G10.nonfollowing_dwell_s</x:v>
      </x:c>
      <x:c r="D118" s="18" t="str">
        <x:v>number</x:v>
      </x:c>
      <x:c r="E118" s="18" t="str">
        <x:v>s</x:v>
      </x:c>
      <x:c r="F118" s="18" t="str">
        <x:v>Commissioning required</x:v>
      </x:c>
      <x:c r="G118" s="18" t="str">
        <x:v>{"minimum": 0.001, "maximum": 86400}</x:v>
      </x:c>
      <x:c r="H118" s="18" t="str">
        <x:v>STATE_BOUNDARY</x:v>
      </x:c>
      <x:c r="I118" s="18" t="str">
        <x:v>Beyond validated actuator delay/response allowance</x:v>
      </x:c>
      <x:c r="J118" s="22" t="str"/>
      <x:c r="K118" s="22" t="str">
        <x:v>Not assessed</x:v>
      </x:c>
    </x:row>
    <x:row r="119" ht="84" customHeight="1">
      <x:c r="A119" s="18" t="str">
        <x:v>CFG-115</x:v>
      </x:c>
      <x:c r="B119" s="18" t="str">
        <x:v>G10</x:v>
      </x:c>
      <x:c r="C119" s="18" t="str">
        <x:v>G10.movement_noise_floor_pp</x:v>
      </x:c>
      <x:c r="D119" s="18" t="str">
        <x:v>number</x:v>
      </x:c>
      <x:c r="E119" s="18" t="str">
        <x:v>percentage_point</x:v>
      </x:c>
      <x:c r="F119" s="18" t="str">
        <x:v>Commissioning required</x:v>
      </x:c>
      <x:c r="G119" s="18" t="str">
        <x:v>{"minimum": 0, "maximum": 100}</x:v>
      </x:c>
      <x:c r="H119" s="18" t="str">
        <x:v>STATE_BOUNDARY</x:v>
      </x:c>
      <x:c r="I119" s="18" t="str">
        <x:v>VP movement noise/calibration-aware threshold</x:v>
      </x:c>
      <x:c r="J119" s="22" t="str"/>
      <x:c r="K119" s="22" t="str">
        <x:v>Not assessed</x:v>
      </x:c>
    </x:row>
    <x:row r="120" ht="84" customHeight="1">
      <x:c r="A120" s="18" t="str">
        <x:v>CFG-116</x:v>
      </x:c>
      <x:c r="B120" s="18" t="str">
        <x:v>G11</x:v>
      </x:c>
      <x:c r="C120" s="18" t="str">
        <x:v>G11.freeze_tolerance_pv_eu</x:v>
      </x:c>
      <x:c r="D120" s="18" t="str">
        <x:v>number</x:v>
      </x:c>
      <x:c r="E120" s="18" t="str">
        <x:v>PV_EU</x:v>
      </x:c>
      <x:c r="F120" s="18" t="str">
        <x:v>Commissioning required</x:v>
      </x:c>
      <x:c r="G120" s="18" t="str">
        <x:v>{"minimum": 0, "maximum": 1000000000000.0}</x:v>
      </x:c>
      <x:c r="H120" s="18" t="str">
        <x:v>STATE_BOUNDARY</x:v>
      </x:c>
      <x:c r="I120" s="18" t="str">
        <x:v>Resolution/source-aware flatness tolerance</x:v>
      </x:c>
      <x:c r="J120" s="22" t="str"/>
      <x:c r="K120" s="22" t="str">
        <x:v>Not assessed</x:v>
      </x:c>
    </x:row>
    <x:row r="121" ht="84" customHeight="1">
      <x:c r="A121" s="18" t="str">
        <x:v>CFG-117</x:v>
      </x:c>
      <x:c r="B121" s="18" t="str">
        <x:v>G11</x:v>
      </x:c>
      <x:c r="C121" s="18" t="str">
        <x:v>G11.freeze_dwell_s</x:v>
      </x:c>
      <x:c r="D121" s="18" t="str">
        <x:v>number</x:v>
      </x:c>
      <x:c r="E121" s="18" t="str">
        <x:v>s</x:v>
      </x:c>
      <x:c r="F121" s="18" t="str">
        <x:v>Commissioning required</x:v>
      </x:c>
      <x:c r="G121" s="18" t="str">
        <x:v>{"minimum": 0.001, "maximum": 86400}</x:v>
      </x:c>
      <x:c r="H121" s="18" t="str">
        <x:v>STATE_BOUNDARY</x:v>
      </x:c>
      <x:c r="I121" s="18" t="str">
        <x:v>Episode duration, no dilution by long-window fraction</x:v>
      </x:c>
      <x:c r="J121" s="22" t="str"/>
      <x:c r="K121" s="22" t="str">
        <x:v>Not assessed</x:v>
      </x:c>
    </x:row>
    <x:row r="122" ht="84" customHeight="1">
      <x:c r="A122" s="18" t="str">
        <x:v>CFG-118</x:v>
      </x:c>
      <x:c r="B122" s="18" t="str">
        <x:v>G11</x:v>
      </x:c>
      <x:c r="C122" s="18" t="str">
        <x:v>G11.spike_noise_multiplier</x:v>
      </x:c>
      <x:c r="D122" s="18" t="str">
        <x:v>number</x:v>
      </x:c>
      <x:c r="E122" s="18" t="str">
        <x:v>ratio</x:v>
      </x:c>
      <x:c r="F122" s="18" t="str">
        <x:v>Commissioning required</x:v>
      </x:c>
      <x:c r="G122" s="18" t="str">
        <x:v>{"minimum": 1, "maximum": 1000}</x:v>
      </x:c>
      <x:c r="H122" s="18" t="str">
        <x:v>STATE_BOUNDARY</x:v>
      </x:c>
      <x:c r="I122" s="18" t="str">
        <x:v>Robust noise qualification</x:v>
      </x:c>
      <x:c r="J122" s="22" t="str"/>
      <x:c r="K122" s="22" t="str">
        <x:v>Not assessed</x:v>
      </x:c>
    </x:row>
    <x:row r="123" ht="84" customHeight="1">
      <x:c r="A123" s="18" t="str">
        <x:v>CFG-119</x:v>
      </x:c>
      <x:c r="B123" s="18" t="str">
        <x:v>G11</x:v>
      </x:c>
      <x:c r="C123" s="18" t="str">
        <x:v>G11.instrument_verified_max_age_s</x:v>
      </x:c>
      <x:c r="D123" s="18" t="str">
        <x:v>number</x:v>
      </x:c>
      <x:c r="E123" s="18" t="str">
        <x:v>s</x:v>
      </x:c>
      <x:c r="F123" s="18" t="str">
        <x:v>Commissioning required</x:v>
      </x:c>
      <x:c r="G123" s="18" t="str">
        <x:v>{"minimum": 1, "maximum": 604800}</x:v>
      </x:c>
      <x:c r="H123" s="18" t="str">
        <x:v>STATE_BOUNDARY</x:v>
      </x:c>
      <x:c r="I123" s="18" t="str">
        <x:v>Instrumental verified source age, not broker emission age</x:v>
      </x:c>
      <x:c r="J123" s="22" t="str"/>
      <x:c r="K123" s="22" t="str">
        <x:v>Not assessed</x:v>
      </x:c>
    </x:row>
    <x:row r="124" ht="84" customHeight="1">
      <x:c r="A124" s="18" t="str">
        <x:v>CFG-120</x:v>
      </x:c>
      <x:c r="B124" s="18" t="str">
        <x:v>G11</x:v>
      </x:c>
      <x:c r="C124" s="18" t="str">
        <x:v>G11.late_health_correction_horizon_s</x:v>
      </x:c>
      <x:c r="D124" s="18" t="str">
        <x:v>number</x:v>
      </x:c>
      <x:c r="E124" s="18" t="str">
        <x:v>s</x:v>
      </x:c>
      <x:c r="F124" s="18" t="str">
        <x:v>Commissioning required</x:v>
      </x:c>
      <x:c r="G124" s="18" t="str">
        <x:v>{"minimum": 0, "maximum": 31536000}</x:v>
      </x:c>
      <x:c r="H124" s="18" t="str">
        <x:v>STATE_BOUNDARY</x:v>
      </x:c>
      <x:c r="I124" s="18" t="str">
        <x:v>Revision policy; retained history remains immutable</x:v>
      </x:c>
      <x:c r="J124" s="22" t="str"/>
      <x:c r="K124" s="22" t="str">
        <x:v>Not assessed</x:v>
      </x:c>
    </x:row>
    <x:row r="125" ht="84" customHeight="1">
      <x:c r="A125" s="18" t="str">
        <x:v>CFG-121</x:v>
      </x:c>
      <x:c r="B125" s="18" t="str">
        <x:v>G12</x:v>
      </x:c>
      <x:c r="C125" s="18" t="str">
        <x:v>G12.step_min_input_eu</x:v>
      </x:c>
      <x:c r="D125" s="18" t="str">
        <x:v>number</x:v>
      </x:c>
      <x:c r="E125" s="18" t="str">
        <x:v>input_EU</x:v>
      </x:c>
      <x:c r="F125" s="18" t="str">
        <x:v>Commissioning required</x:v>
      </x:c>
      <x:c r="G125" s="18" t="str">
        <x:v>{"minimum": 0, "maximum": 1000000000000.0}</x:v>
      </x:c>
      <x:c r="H125" s="18" t="str">
        <x:v>STATE_BOUNDARY</x:v>
      </x:c>
      <x:c r="I125" s="18" t="str">
        <x:v>Declared applied-input/event path</x:v>
      </x:c>
      <x:c r="J125" s="22" t="str"/>
      <x:c r="K125" s="22" t="str">
        <x:v>Not assessed</x:v>
      </x:c>
    </x:row>
    <x:row r="126" ht="84" customHeight="1">
      <x:c r="A126" s="18" t="str">
        <x:v>CFG-122</x:v>
      </x:c>
      <x:c r="B126" s="18" t="str">
        <x:v>G12</x:v>
      </x:c>
      <x:c r="C126" s="18" t="str">
        <x:v>G12.step_min_span_fraction</x:v>
      </x:c>
      <x:c r="D126" s="18" t="str">
        <x:v>number</x:v>
      </x:c>
      <x:c r="E126" s="18" t="str">
        <x:v>fraction</x:v>
      </x:c>
      <x:c r="F126" s="18" t="str">
        <x:v>Commissioning required</x:v>
      </x:c>
      <x:c r="G126" s="18" t="str">
        <x:v>{"minimum": 0, "maximum": 1}</x:v>
      </x:c>
      <x:c r="H126" s="18" t="str">
        <x:v>STATE_BOUNDARY</x:v>
      </x:c>
      <x:c r="I126" s="18" t="str">
        <x:v>Relative event threshold</x:v>
      </x:c>
      <x:c r="J126" s="22" t="str"/>
      <x:c r="K126" s="22" t="str">
        <x:v>Not assessed</x:v>
      </x:c>
    </x:row>
    <x:row r="127" ht="84" customHeight="1">
      <x:c r="A127" s="18" t="str">
        <x:v>CFG-123</x:v>
      </x:c>
      <x:c r="B127" s="18" t="str">
        <x:v>G12</x:v>
      </x:c>
      <x:c r="C127" s="18" t="str">
        <x:v>G12.noise_multiplier</x:v>
      </x:c>
      <x:c r="D127" s="18" t="str">
        <x:v>number</x:v>
      </x:c>
      <x:c r="E127" s="18" t="str">
        <x:v>ratio</x:v>
      </x:c>
      <x:c r="F127" s="18" t="n">
        <x:v>5</x:v>
      </x:c>
      <x:c r="G127" s="18" t="str">
        <x:v>{"minimum": 1, "maximum": 1000}</x:v>
      </x:c>
      <x:c r="H127" s="18" t="str">
        <x:v>STATE_BOUNDARY</x:v>
      </x:c>
      <x:c r="I127" s="18" t="str">
        <x:v>Commissioning proposal; qualified robust pre-noise</x:v>
      </x:c>
      <x:c r="J127" s="22" t="str"/>
      <x:c r="K127" s="22" t="str">
        <x:v>Not assessed</x:v>
      </x:c>
    </x:row>
    <x:row r="128" ht="84" customHeight="1">
      <x:c r="A128" s="18" t="str">
        <x:v>CFG-124</x:v>
      </x:c>
      <x:c r="B128" s="18" t="str">
        <x:v>G12</x:v>
      </x:c>
      <x:c r="C128" s="18" t="str">
        <x:v>G12.pre_support_s</x:v>
      </x:c>
      <x:c r="D128" s="18" t="str">
        <x:v>number</x:v>
      </x:c>
      <x:c r="E128" s="18" t="str">
        <x:v>s</x:v>
      </x:c>
      <x:c r="F128" s="18" t="str">
        <x:v>Commissioning required</x:v>
      </x:c>
      <x:c r="G128" s="18" t="str">
        <x:v>{"minimum": 1, "maximum": 31536000}</x:v>
      </x:c>
      <x:c r="H128" s="18" t="str">
        <x:v>STATE_BOUNDARY</x:v>
      </x:c>
      <x:c r="I128" s="18" t="str">
        <x:v>Qualified stable baseline support</x:v>
      </x:c>
      <x:c r="J128" s="22" t="str"/>
      <x:c r="K128" s="22" t="str">
        <x:v>Not assessed</x:v>
      </x:c>
    </x:row>
    <x:row r="129" ht="84" customHeight="1">
      <x:c r="A129" s="18" t="str">
        <x:v>CFG-125</x:v>
      </x:c>
      <x:c r="B129" s="18" t="str">
        <x:v>G12</x:v>
      </x:c>
      <x:c r="C129" s="18" t="str">
        <x:v>G12.post_support_min_s</x:v>
      </x:c>
      <x:c r="D129" s="18" t="str">
        <x:v>number</x:v>
      </x:c>
      <x:c r="E129" s="18" t="str">
        <x:v>s</x:v>
      </x:c>
      <x:c r="F129" s="18" t="str">
        <x:v>Commissioning required</x:v>
      </x:c>
      <x:c r="G129" s="18" t="str">
        <x:v>{"minimum": 1, "maximum": 31536000}</x:v>
      </x:c>
      <x:c r="H129" s="18" t="str">
        <x:v>STATE_BOUNDARY</x:v>
      </x:c>
      <x:c r="I129" s="18" t="str">
        <x:v>Minimum post-event support</x:v>
      </x:c>
      <x:c r="J129" s="22" t="str"/>
      <x:c r="K129" s="22" t="str">
        <x:v>Not assessed</x:v>
      </x:c>
    </x:row>
    <x:row r="130" ht="84" customHeight="1">
      <x:c r="A130" s="18" t="str">
        <x:v>CFG-126</x:v>
      </x:c>
      <x:c r="B130" s="18" t="str">
        <x:v>G12</x:v>
      </x:c>
      <x:c r="C130" s="18" t="str">
        <x:v>G12.capture_max_s</x:v>
      </x:c>
      <x:c r="D130" s="18" t="str">
        <x:v>number</x:v>
      </x:c>
      <x:c r="E130" s="18" t="str">
        <x:v>s</x:v>
      </x:c>
      <x:c r="F130" s="18" t="str">
        <x:v>Commissioning required</x:v>
      </x:c>
      <x:c r="G130" s="18" t="str">
        <x:v>{"minimum": 1, "maximum": 31536000}</x:v>
      </x:c>
      <x:c r="H130" s="18" t="str">
        <x:v>STATE_BOUNDARY</x:v>
      </x:c>
      <x:c r="I130" s="18" t="str">
        <x:v>Must fit deployed state/capacity; censored on expiry</x:v>
      </x:c>
      <x:c r="J130" s="22" t="str"/>
      <x:c r="K130" s="22" t="str">
        <x:v>Not assessed</x:v>
      </x:c>
    </x:row>
    <x:row r="131" ht="84" customHeight="1">
      <x:c r="A131" s="18" t="str">
        <x:v>CFG-127</x:v>
      </x:c>
      <x:c r="B131" s="18" t="str">
        <x:v>G12</x:v>
      </x:c>
      <x:c r="C131" s="18" t="str">
        <x:v>G12.crossing_dwell_s</x:v>
      </x:c>
      <x:c r="D131" s="18" t="str">
        <x:v>number</x:v>
      </x:c>
      <x:c r="E131" s="18" t="str">
        <x:v>s</x:v>
      </x:c>
      <x:c r="F131" s="18" t="str">
        <x:v>Commissioning required</x:v>
      </x:c>
      <x:c r="G131" s="18" t="str">
        <x:v>{"minimum": 0, "maximum": 86400}</x:v>
      </x:c>
      <x:c r="H131" s="18" t="str">
        <x:v>STATE_BOUNDARY</x:v>
      </x:c>
      <x:c r="I131" s="18" t="str">
        <x:v>Sustained threshold crossing</x:v>
      </x:c>
      <x:c r="J131" s="22" t="str"/>
      <x:c r="K131" s="22" t="str">
        <x:v>Not assessed</x:v>
      </x:c>
    </x:row>
    <x:row r="132" ht="84" customHeight="1">
      <x:c r="A132" s="18" t="str">
        <x:v>CFG-128</x:v>
      </x:c>
      <x:c r="B132" s="18" t="str">
        <x:v>G12</x:v>
      </x:c>
      <x:c r="C132" s="18" t="str">
        <x:v>G12.settling_tail_dwell_s</x:v>
      </x:c>
      <x:c r="D132" s="18" t="str">
        <x:v>number</x:v>
      </x:c>
      <x:c r="E132" s="18" t="str">
        <x:v>s</x:v>
      </x:c>
      <x:c r="F132" s="18" t="str">
        <x:v>Commissioning required</x:v>
      </x:c>
      <x:c r="G132" s="18" t="str">
        <x:v>{"minimum": 0.001, "maximum": 31536000}</x:v>
      </x:c>
      <x:c r="H132" s="18" t="str">
        <x:v>STATE_BOUNDARY</x:v>
      </x:c>
      <x:c r="I132" s="18" t="str">
        <x:v>Minimum observed stable tail</x:v>
      </x:c>
      <x:c r="J132" s="22" t="str"/>
      <x:c r="K132" s="22" t="str">
        <x:v>Not assessed</x:v>
      </x:c>
    </x:row>
    <x:row r="133" ht="84" customHeight="1">
      <x:c r="A133" s="18" t="str">
        <x:v>CFG-129</x:v>
      </x:c>
      <x:c r="B133" s="18" t="str">
        <x:v>G12</x:v>
      </x:c>
      <x:c r="C133" s="18" t="str">
        <x:v>G12.settling_relative_band</x:v>
      </x:c>
      <x:c r="D133" s="18" t="str">
        <x:v>number</x:v>
      </x:c>
      <x:c r="E133" s="18" t="str">
        <x:v>fraction</x:v>
      </x:c>
      <x:c r="F133" s="18" t="n">
        <x:v>0.02</x:v>
      </x:c>
      <x:c r="G133" s="18" t="str">
        <x:v>{"minimum": 1e-06, "maximum": 0.5}</x:v>
      </x:c>
      <x:c r="H133" s="18" t="str">
        <x:v>POLICY</x:v>
      </x:c>
      <x:c r="I133" s="18" t="str">
        <x:v>Engineering starting convention, not universal objective</x:v>
      </x:c>
      <x:c r="J133" s="22" t="str"/>
      <x:c r="K133" s="22" t="str">
        <x:v>Not assessed</x:v>
      </x:c>
    </x:row>
    <x:row r="134" ht="84" customHeight="1">
      <x:c r="A134" s="18" t="str">
        <x:v>CFG-130</x:v>
      </x:c>
      <x:c r="B134" s="18" t="str">
        <x:v>G12</x:v>
      </x:c>
      <x:c r="C134" s="18" t="str">
        <x:v>G12.settling_abs_band_pv_eu</x:v>
      </x:c>
      <x:c r="D134" s="18" t="str">
        <x:v>number</x:v>
      </x:c>
      <x:c r="E134" s="18" t="str">
        <x:v>PV_EU</x:v>
      </x:c>
      <x:c r="F134" s="18" t="str">
        <x:v>Commissioning required</x:v>
      </x:c>
      <x:c r="G134" s="18" t="str">
        <x:v>{"minimum": 0, "maximum": 1000000000000.0}</x:v>
      </x:c>
      <x:c r="H134" s="18" t="str">
        <x:v>POLICY</x:v>
      </x:c>
      <x:c r="I134" s="18" t="str">
        <x:v>Noise/objective-aware absolute band</x:v>
      </x:c>
      <x:c r="J134" s="22" t="str"/>
      <x:c r="K134" s="22" t="str">
        <x:v>Not assessed</x:v>
      </x:c>
    </x:row>
    <x:row r="135" ht="84" customHeight="1">
      <x:c r="A135" s="18" t="str">
        <x:v>CFG-131</x:v>
      </x:c>
      <x:c r="B135" s="18" t="str">
        <x:v>G12</x:v>
      </x:c>
      <x:c r="C135" s="18" t="str">
        <x:v>G12.delay_min_s</x:v>
      </x:c>
      <x:c r="D135" s="18" t="str">
        <x:v>number</x:v>
      </x:c>
      <x:c r="E135" s="18" t="str">
        <x:v>s</x:v>
      </x:c>
      <x:c r="F135" s="18" t="n">
        <x:v>0</x:v>
      </x:c>
      <x:c r="G135" s="18" t="str">
        <x:v>{"minimum": 0, "maximum": 31536000}</x:v>
      </x:c>
      <x:c r="H135" s="18" t="str">
        <x:v>STATE_BOUNDARY</x:v>
      </x:c>
      <x:c r="I135" s="18" t="str">
        <x:v>Delay search bound; clock uncertainty retained</x:v>
      </x:c>
      <x:c r="J135" s="22" t="str"/>
      <x:c r="K135" s="22" t="str">
        <x:v>Not assessed</x:v>
      </x:c>
    </x:row>
    <x:row r="136" ht="84" customHeight="1">
      <x:c r="A136" s="18" t="str">
        <x:v>CFG-132</x:v>
      </x:c>
      <x:c r="B136" s="18" t="str">
        <x:v>G12</x:v>
      </x:c>
      <x:c r="C136" s="18" t="str">
        <x:v>G12.delay_max_s</x:v>
      </x:c>
      <x:c r="D136" s="18" t="str">
        <x:v>number</x:v>
      </x:c>
      <x:c r="E136" s="18" t="str">
        <x:v>s</x:v>
      </x:c>
      <x:c r="F136" s="18" t="str">
        <x:v>Commissioning required</x:v>
      </x:c>
      <x:c r="G136" s="18" t="str">
        <x:v>{"minimum": 0, "maximum": 31536000}</x:v>
      </x:c>
      <x:c r="H136" s="18" t="str">
        <x:v>STATE_BOUNDARY</x:v>
      </x:c>
      <x:c r="I136" s="18" t="str">
        <x:v>Qualified model path bound</x:v>
      </x:c>
      <x:c r="J136" s="22" t="str"/>
      <x:c r="K136" s="22" t="str">
        <x:v>Not assessed</x:v>
      </x:c>
    </x:row>
    <x:row r="137" ht="84" customHeight="1">
      <x:c r="A137" s="18" t="str">
        <x:v>CFG-133</x:v>
      </x:c>
      <x:c r="B137" s="18" t="str">
        <x:v>G12</x:v>
      </x:c>
      <x:c r="C137" s="18" t="str">
        <x:v>G12.tau_min_s</x:v>
      </x:c>
      <x:c r="D137" s="18" t="str">
        <x:v>number</x:v>
      </x:c>
      <x:c r="E137" s="18" t="str">
        <x:v>s</x:v>
      </x:c>
      <x:c r="F137" s="18" t="str">
        <x:v>Commissioning required</x:v>
      </x:c>
      <x:c r="G137" s="18" t="str">
        <x:v>{"minimum": 1e-06, "maximum": 31536000}</x:v>
      </x:c>
      <x:c r="H137" s="18" t="str">
        <x:v>STATE_BOUNDARY</x:v>
      </x:c>
      <x:c r="I137" s="18" t="str">
        <x:v>Self-regulating time-constant lower bound</x:v>
      </x:c>
      <x:c r="J137" s="22" t="str"/>
      <x:c r="K137" s="22" t="str">
        <x:v>Not assessed</x:v>
      </x:c>
    </x:row>
    <x:row r="138" ht="84" customHeight="1">
      <x:c r="A138" s="18" t="str">
        <x:v>CFG-134</x:v>
      </x:c>
      <x:c r="B138" s="18" t="str">
        <x:v>G12</x:v>
      </x:c>
      <x:c r="C138" s="18" t="str">
        <x:v>G12.tau_max_s</x:v>
      </x:c>
      <x:c r="D138" s="18" t="str">
        <x:v>number</x:v>
      </x:c>
      <x:c r="E138" s="18" t="str">
        <x:v>s</x:v>
      </x:c>
      <x:c r="F138" s="18" t="str">
        <x:v>Commissioning required</x:v>
      </x:c>
      <x:c r="G138" s="18" t="str">
        <x:v>{"minimum": 1e-06, "maximum": 31536000}</x:v>
      </x:c>
      <x:c r="H138" s="18" t="str">
        <x:v>STATE_BOUNDARY</x:v>
      </x:c>
      <x:c r="I138" s="18" t="str">
        <x:v>Self-regulating time-constant upper bound</x:v>
      </x:c>
      <x:c r="J138" s="22" t="str"/>
      <x:c r="K138" s="22" t="str">
        <x:v>Not assessed</x:v>
      </x:c>
    </x:row>
    <x:row r="139" ht="84" customHeight="1">
      <x:c r="A139" s="18" t="str">
        <x:v>CFG-135</x:v>
      </x:c>
      <x:c r="B139" s="18" t="str">
        <x:v>G12</x:v>
      </x:c>
      <x:c r="C139" s="18" t="str">
        <x:v>G12.gain_abs_max</x:v>
      </x:c>
      <x:c r="D139" s="18" t="str">
        <x:v>number</x:v>
      </x:c>
      <x:c r="E139" s="18" t="str">
        <x:v>PV_EU/input_EU</x:v>
      </x:c>
      <x:c r="F139" s="18" t="str">
        <x:v>Commissioning required</x:v>
      </x:c>
      <x:c r="G139" s="18" t="str">
        <x:v>{"minimum": 1e-06, "maximum": 1000000000000000.0}</x:v>
      </x:c>
      <x:c r="H139" s="18" t="str">
        <x:v>STATE_BOUNDARY</x:v>
      </x:c>
      <x:c r="I139" s="18" t="str">
        <x:v>Signed gain bounded both ways if sign unknown</x:v>
      </x:c>
      <x:c r="J139" s="22" t="str"/>
      <x:c r="K139" s="22" t="str">
        <x:v>Not assessed</x:v>
      </x:c>
    </x:row>
    <x:row r="140" ht="84" customHeight="1">
      <x:c r="A140" s="18" t="str">
        <x:v>CFG-136</x:v>
      </x:c>
      <x:c r="B140" s="18" t="str">
        <x:v>G12</x:v>
      </x:c>
      <x:c r="C140" s="18" t="str">
        <x:v>G12.fit_max_iterations</x:v>
      </x:c>
      <x:c r="D140" s="18" t="str">
        <x:v>integer</x:v>
      </x:c>
      <x:c r="E140" s="18" t="str">
        <x:v>iteration</x:v>
      </x:c>
      <x:c r="F140" s="18" t="n">
        <x:v>200</x:v>
      </x:c>
      <x:c r="G140" s="18" t="str">
        <x:v>{"minimum": 10, "maximum": 10000}</x:v>
      </x:c>
      <x:c r="H140" s="18" t="str">
        <x:v>STATE_BOUNDARY</x:v>
      </x:c>
      <x:c r="I140" s="18" t="str">
        <x:v>Bounded solver resource</x:v>
      </x:c>
      <x:c r="J140" s="22" t="str"/>
      <x:c r="K140" s="22" t="str">
        <x:v>Not assessed</x:v>
      </x:c>
    </x:row>
    <x:row r="141" ht="84" customHeight="1">
      <x:c r="A141" s="18" t="str">
        <x:v>CFG-137</x:v>
      </x:c>
      <x:c r="B141" s="18" t="str">
        <x:v>G12</x:v>
      </x:c>
      <x:c r="C141" s="18" t="str">
        <x:v>G12.fit_relative_tolerance</x:v>
      </x:c>
      <x:c r="D141" s="18" t="str">
        <x:v>number</x:v>
      </x:c>
      <x:c r="E141" s="18" t="str">
        <x:v>ratio</x:v>
      </x:c>
      <x:c r="F141" s="18" t="n">
        <x:v>1e-8</x:v>
      </x:c>
      <x:c r="G141" s="18" t="str">
        <x:v>{"minimum": 1e-12, "maximum": 0.01}</x:v>
      </x:c>
      <x:c r="H141" s="18" t="str">
        <x:v>STATE_BOUNDARY</x:v>
      </x:c>
      <x:c r="I141" s="18" t="str">
        <x:v>Solver convergence threshold</x:v>
      </x:c>
      <x:c r="J141" s="22" t="str"/>
      <x:c r="K141" s="22" t="str">
        <x:v>Not assessed</x:v>
      </x:c>
    </x:row>
    <x:row r="142" ht="84" customHeight="1">
      <x:c r="A142" s="18" t="str">
        <x:v>CFG-138</x:v>
      </x:c>
      <x:c r="B142" s="18" t="str">
        <x:v>G12</x:v>
      </x:c>
      <x:c r="C142" s="18" t="str">
        <x:v>G12.validation_rmse_max_pv_eu</x:v>
      </x:c>
      <x:c r="D142" s="18" t="str">
        <x:v>number</x:v>
      </x:c>
      <x:c r="E142" s="18" t="str">
        <x:v>PV_EU</x:v>
      </x:c>
      <x:c r="F142" s="18" t="str">
        <x:v>Commissioning required</x:v>
      </x:c>
      <x:c r="G142" s="18" t="str">
        <x:v>{"minimum": 0, "maximum": 1000000000000.0}</x:v>
      </x:c>
      <x:c r="H142" s="18" t="str">
        <x:v>POLICY</x:v>
      </x:c>
      <x:c r="I142" s="18" t="str">
        <x:v>Independent holdout criterion, approved per regime</x:v>
      </x:c>
      <x:c r="J142" s="22" t="str"/>
      <x:c r="K142" s="22" t="str">
        <x:v>Not assessed</x:v>
      </x:c>
    </x:row>
    <x:row r="143" ht="84" customHeight="1">
      <x:c r="A143" s="18" t="str">
        <x:v>CFG-139</x:v>
      </x:c>
      <x:c r="B143" s="18" t="str">
        <x:v>G12</x:v>
      </x:c>
      <x:c r="C143" s="18" t="str">
        <x:v>G12.confidence_level</x:v>
      </x:c>
      <x:c r="D143" s="18" t="str">
        <x:v>number</x:v>
      </x:c>
      <x:c r="E143" s="18" t="str">
        <x:v>fraction</x:v>
      </x:c>
      <x:c r="F143" s="18" t="n">
        <x:v>0.95</x:v>
      </x:c>
      <x:c r="G143" s="18" t="str">
        <x:v>{"minimum": 0.5, "maximum": 0.999}</x:v>
      </x:c>
      <x:c r="H143" s="18" t="str">
        <x:v>POLICY</x:v>
      </x:c>
      <x:c r="I143" s="18" t="str">
        <x:v>Statistical interval level only with identified method</x:v>
      </x:c>
      <x:c r="J143" s="22" t="str"/>
      <x:c r="K143" s="22" t="str">
        <x:v>Not assessed</x:v>
      </x:c>
    </x:row>
    <x:row r="144" ht="84" customHeight="1">
      <x:c r="A144" s="18" t="str">
        <x:v>CFG-140</x:v>
      </x:c>
      <x:c r="B144" s="18" t="str">
        <x:v>G12</x:v>
      </x:c>
      <x:c r="C144" s="18" t="str">
        <x:v>G12.bootstrap_repetitions</x:v>
      </x:c>
      <x:c r="D144" s="18" t="str">
        <x:v>integer</x:v>
      </x:c>
      <x:c r="E144" s="18" t="str">
        <x:v>count</x:v>
      </x:c>
      <x:c r="F144" s="18" t="n">
        <x:v>200</x:v>
      </x:c>
      <x:c r="G144" s="18" t="str">
        <x:v>{"minimum": 20, "maximum": 10000}</x:v>
      </x:c>
      <x:c r="H144" s="18" t="str">
        <x:v>STATE_BOUNDARY</x:v>
      </x:c>
      <x:c r="I144" s="18" t="str">
        <x:v>Block/event bootstrap if installed; not IID shortcut</x:v>
      </x:c>
      <x:c r="J144" s="22" t="str"/>
      <x:c r="K144" s="22" t="str">
        <x:v>Not assessed</x:v>
      </x:c>
    </x:row>
    <x:row r="145" ht="84" customHeight="1">
      <x:c r="A145" s="18" t="str">
        <x:v>CFG-141</x:v>
      </x:c>
      <x:c r="B145" s="18" t="str">
        <x:v>G12</x:v>
      </x:c>
      <x:c r="C145" s="18" t="str">
        <x:v>G12.model_max_age_s</x:v>
      </x:c>
      <x:c r="D145" s="18" t="str">
        <x:v>number</x:v>
      </x:c>
      <x:c r="E145" s="18" t="str">
        <x:v>s</x:v>
      </x:c>
      <x:c r="F145" s="18" t="str">
        <x:v>Commissioning required</x:v>
      </x:c>
      <x:c r="G145" s="18" t="str">
        <x:v>{"minimum": 1, "maximum": 315360000}</x:v>
      </x:c>
      <x:c r="H145" s="18" t="str">
        <x:v>POLICY</x:v>
      </x:c>
      <x:c r="I145" s="18" t="str">
        <x:v>Context changes may expire earlier</x:v>
      </x:c>
      <x:c r="J145" s="22" t="str"/>
      <x:c r="K145" s="22" t="str">
        <x:v>Not assessed</x:v>
      </x:c>
    </x:row>
    <x:row r="146" ht="84" customHeight="1">
      <x:c r="A146" s="18" t="str">
        <x:v>CFG-142</x:v>
      </x:c>
      <x:c r="B146" s="18" t="str">
        <x:v>G12</x:v>
      </x:c>
      <x:c r="C146" s="18" t="str">
        <x:v>G12.lambda_s</x:v>
      </x:c>
      <x:c r="D146" s="18" t="str">
        <x:v>number</x:v>
      </x:c>
      <x:c r="E146" s="18" t="str">
        <x:v>s</x:v>
      </x:c>
      <x:c r="F146" s="18" t="str">
        <x:v>Commissioning required</x:v>
      </x:c>
      <x:c r="G146" s="18" t="str">
        <x:v>{"minimum": 0.001, "maximum": 31536000}</x:v>
      </x:c>
      <x:c r="H146" s="18" t="str">
        <x:v>POLICY</x:v>
      </x:c>
      <x:c r="I146" s="18" t="str">
        <x:v>Approved advisory objective only; no automatic DCS write</x:v>
      </x:c>
      <x:c r="J146" s="22" t="str"/>
      <x:c r="K146" s="22" t="str">
        <x:v>Not assessed</x:v>
      </x:c>
    </x:row>
    <x:row r="147" ht="84" customHeight="1">
      <x:c r="A147" s="18" t="str">
        <x:v>CFG-143</x:v>
      </x:c>
      <x:c r="B147" s="18" t="str">
        <x:v>G13</x:v>
      </x:c>
      <x:c r="C147" s="18" t="str">
        <x:v>G13.lag_max_s</x:v>
      </x:c>
      <x:c r="D147" s="18" t="str">
        <x:v>number</x:v>
      </x:c>
      <x:c r="E147" s="18" t="str">
        <x:v>s</x:v>
      </x:c>
      <x:c r="F147" s="18" t="str">
        <x:v>Commissioning required</x:v>
      </x:c>
      <x:c r="G147" s="18" t="str">
        <x:v>{"minimum": 0.001, "maximum": 31536000}</x:v>
      </x:c>
      <x:c r="H147" s="18" t="str">
        <x:v>STATE_BOUNDARY</x:v>
      </x:c>
      <x:c r="I147" s="18" t="str">
        <x:v>Aligned peer analysis physical lag bound</x:v>
      </x:c>
      <x:c r="J147" s="22" t="str"/>
      <x:c r="K147" s="22" t="str">
        <x:v>Not assessed</x:v>
      </x:c>
    </x:row>
    <x:row r="148" ht="84" customHeight="1">
      <x:c r="A148" s="18" t="str">
        <x:v>CFG-144</x:v>
      </x:c>
      <x:c r="B148" s="18" t="str">
        <x:v>G13</x:v>
      </x:c>
      <x:c r="C148" s="18" t="str">
        <x:v>G13.coherence_display_min</x:v>
      </x:c>
      <x:c r="D148" s="18" t="str">
        <x:v>number</x:v>
      </x:c>
      <x:c r="E148" s="18" t="str">
        <x:v>fraction</x:v>
      </x:c>
      <x:c r="F148" s="18" t="str">
        <x:v>Commissioning required</x:v>
      </x:c>
      <x:c r="G148" s="18" t="str">
        <x:v>{"minimum": 0, "maximum": 1}</x:v>
      </x:c>
      <x:c r="H148" s="18" t="str">
        <x:v>POLICY</x:v>
      </x:c>
      <x:c r="I148" s="18" t="str">
        <x:v>Qualified association, not proof of causality</x:v>
      </x:c>
      <x:c r="J148" s="22" t="str"/>
      <x:c r="K148" s="22" t="str">
        <x:v>Not assessed</x:v>
      </x:c>
    </x:row>
    <x:row r="149" ht="84" customHeight="1">
      <x:c r="A149" s="18" t="str">
        <x:v>CFG-145</x:v>
      </x:c>
      <x:c r="B149" s="18" t="str">
        <x:v>G13</x:v>
      </x:c>
      <x:c r="C149" s="18" t="str">
        <x:v>G13.min_compatible_support_s</x:v>
      </x:c>
      <x:c r="D149" s="18" t="str">
        <x:v>number</x:v>
      </x:c>
      <x:c r="E149" s="18" t="str">
        <x:v>s</x:v>
      </x:c>
      <x:c r="F149" s="18" t="str">
        <x:v>Commissioning required</x:v>
      </x:c>
      <x:c r="G149" s="18" t="str">
        <x:v>{"minimum": 1, "maximum": 31536000}</x:v>
      </x:c>
      <x:c r="H149" s="18" t="str">
        <x:v>STATE_BOUNDARY</x:v>
      </x:c>
      <x:c r="I149" s="18" t="str">
        <x:v>Both signals valid and regime-compatible</x:v>
      </x:c>
      <x:c r="J149" s="22" t="str"/>
      <x:c r="K149" s="22" t="str">
        <x:v>Not assessed</x:v>
      </x:c>
    </x:row>
    <x:row r="150" ht="84" customHeight="1">
      <x:c r="A150" s="18" t="str">
        <x:v>CFG-146</x:v>
      </x:c>
      <x:c r="B150" s="18" t="str">
        <x:v>G13</x:v>
      </x:c>
      <x:c r="C150" s="18" t="str">
        <x:v>G13.max_peers</x:v>
      </x:c>
      <x:c r="D150" s="18" t="str">
        <x:v>integer</x:v>
      </x:c>
      <x:c r="E150" s="18" t="str">
        <x:v>count</x:v>
      </x:c>
      <x:c r="F150" s="18" t="n">
        <x:v>12</x:v>
      </x:c>
      <x:c r="G150" s="18" t="str">
        <x:v>{"minimum": 1, "maximum": 200}</x:v>
      </x:c>
      <x:c r="H150" s="18" t="str">
        <x:v>STATE_BOUNDARY</x:v>
      </x:c>
      <x:c r="I150" s="18" t="str">
        <x:v>Bounded graph/signal expansion</x:v>
      </x:c>
      <x:c r="J150" s="22" t="str"/>
      <x:c r="K150" s="22" t="str">
        <x:v>Not assessed</x:v>
      </x:c>
    </x:row>
    <x:row r="151" ht="84" customHeight="1">
      <x:c r="A151" s="18" t="str">
        <x:v>CFG-147</x:v>
      </x:c>
      <x:c r="B151" s="18" t="str">
        <x:v>G14</x:v>
      </x:c>
      <x:c r="C151" s="18" t="str">
        <x:v>G14.confirmation_record_max_age_s</x:v>
      </x:c>
      <x:c r="D151" s="18" t="str">
        <x:v>number</x:v>
      </x:c>
      <x:c r="E151" s="18" t="str">
        <x:v>s</x:v>
      </x:c>
      <x:c r="F151" s="18" t="str">
        <x:v>Commissioning required</x:v>
      </x:c>
      <x:c r="G151" s="18" t="str">
        <x:v>{"minimum": 1, "maximum": 315360000}</x:v>
      </x:c>
      <x:c r="H151" s="18" t="str">
        <x:v>POLICY</x:v>
      </x:c>
      <x:c r="I151" s="18" t="str">
        <x:v>Fault-specific evidence validity; binding/config changes may invalidate</x:v>
      </x:c>
      <x:c r="J151" s="22" t="str"/>
      <x:c r="K151" s="22" t="str">
        <x:v>Not assessed</x:v>
      </x:c>
    </x:row>
    <x:row r="152" ht="84" customHeight="1">
      <x:c r="A152" s="18" t="str">
        <x:v>CFG-148</x:v>
      </x:c>
      <x:c r="B152" s="18" t="str">
        <x:v>G14</x:v>
      </x:c>
      <x:c r="C152" s="18" t="str">
        <x:v>G14.require_independent_review</x:v>
      </x:c>
      <x:c r="D152" s="18" t="str">
        <x:v>boolean</x:v>
      </x:c>
      <x:c r="E152" s="18" t="str">
        <x:v>boolean</x:v>
      </x:c>
      <x:c r="F152" s="28" t="b">
        <x:v>1</x:v>
      </x:c>
      <x:c r="G152" s="18" t="str">
        <x:v>{}</x:v>
      </x:c>
      <x:c r="H152" s="18" t="str">
        <x:v>POLICY</x:v>
      </x:c>
      <x:c r="I152" s="18" t="str">
        <x:v>Site may require stronger review; immutable mandatory policies cannot be weakened</x:v>
      </x:c>
      <x:c r="J152" s="22" t="str"/>
      <x:c r="K152" s="22" t="str">
        <x:v>Not assessed</x:v>
      </x:c>
    </x:row>
    <x:row r="153" ht="84" customHeight="1">
      <x:c r="A153" s="18" t="str">
        <x:v>CFG-149</x:v>
      </x:c>
      <x:c r="B153" s="18" t="str">
        <x:v>G15</x:v>
      </x:c>
      <x:c r="C153" s="18" t="str">
        <x:v>G15.episode_persistence_s</x:v>
      </x:c>
      <x:c r="D153" s="18" t="str">
        <x:v>number</x:v>
      </x:c>
      <x:c r="E153" s="18" t="str">
        <x:v>s</x:v>
      </x:c>
      <x:c r="F153" s="18" t="str">
        <x:v>Commissioning required</x:v>
      </x:c>
      <x:c r="G153" s="18" t="str">
        <x:v>{"minimum": 0, "maximum": 31536000}</x:v>
      </x:c>
      <x:c r="H153" s="18" t="str">
        <x:v>STATE_BOUNDARY</x:v>
      </x:c>
      <x:c r="I153" s="18" t="str">
        <x:v>Unique compatible observed support, not raw overlapping-window count</x:v>
      </x:c>
      <x:c r="J153" s="22" t="str"/>
      <x:c r="K153" s="22" t="str">
        <x:v>Not assessed</x:v>
      </x:c>
    </x:row>
    <x:row r="154" ht="84" customHeight="1">
      <x:c r="A154" s="18" t="str">
        <x:v>CFG-150</x:v>
      </x:c>
      <x:c r="B154" s="18" t="str">
        <x:v>G15</x:v>
      </x:c>
      <x:c r="C154" s="18" t="str">
        <x:v>G15.recovery_support_s</x:v>
      </x:c>
      <x:c r="D154" s="18" t="str">
        <x:v>number</x:v>
      </x:c>
      <x:c r="E154" s="18" t="str">
        <x:v>s</x:v>
      </x:c>
      <x:c r="F154" s="18" t="str">
        <x:v>Commissioning required</x:v>
      </x:c>
      <x:c r="G154" s="18" t="str">
        <x:v>{"minimum": 0.001, "maximum": 31536000}</x:v>
      </x:c>
      <x:c r="H154" s="18" t="str">
        <x:v>STATE_BOUNDARY</x:v>
      </x:c>
      <x:c r="I154" s="18" t="str">
        <x:v>Positive recovery evidence; missing data not recovery</x:v>
      </x:c>
      <x:c r="J154" s="22" t="str"/>
      <x:c r="K154" s="22" t="str">
        <x:v>Not assessed</x:v>
      </x:c>
    </x:row>
    <x:row r="155" ht="84" customHeight="1">
      <x:c r="A155" s="18" t="str">
        <x:v>CFG-151</x:v>
      </x:c>
      <x:c r="B155" s="18" t="str">
        <x:v>G15</x:v>
      </x:c>
      <x:c r="C155" s="18" t="str">
        <x:v>G15.minimum_evidence_groups</x:v>
      </x:c>
      <x:c r="D155" s="18" t="str">
        <x:v>integer</x:v>
      </x:c>
      <x:c r="E155" s="18" t="str">
        <x:v>group</x:v>
      </x:c>
      <x:c r="F155" s="18" t="n">
        <x:v>2</x:v>
      </x:c>
      <x:c r="G155" s="18" t="str">
        <x:v>{"minimum": 1, "maximum": 20}</x:v>
      </x:c>
      <x:c r="H155" s="18" t="str">
        <x:v>POLICY</x:v>
      </x:c>
      <x:c r="I155" s="18" t="str">
        <x:v>Independent evidence groups and method capability constraints</x:v>
      </x:c>
      <x:c r="J155" s="22" t="str"/>
      <x:c r="K155" s="22" t="str">
        <x:v>Not assessed</x:v>
      </x:c>
    </x:row>
    <x:row r="156" ht="84" customHeight="1">
      <x:c r="A156" s="18" t="str">
        <x:v>CFG-152</x:v>
      </x:c>
      <x:c r="B156" s="18" t="str">
        <x:v>G15</x:v>
      </x:c>
      <x:c r="C156" s="18" t="str">
        <x:v>G15.hypothesis_score_display_min</x:v>
      </x:c>
      <x:c r="D156" s="18" t="str">
        <x:v>number</x:v>
      </x:c>
      <x:c r="E156" s="18" t="str">
        <x:v>fraction</x:v>
      </x:c>
      <x:c r="F156" s="18" t="str">
        <x:v>Commissioning required</x:v>
      </x:c>
      <x:c r="G156" s="18" t="str">
        <x:v>{"minimum": 0, "maximum": 1}</x:v>
      </x:c>
      <x:c r="H156" s="18" t="str">
        <x:v>POLICY</x:v>
      </x:c>
      <x:c r="I156" s="18" t="str">
        <x:v>Uncalibrated evidence score not probability</x:v>
      </x:c>
      <x:c r="J156" s="22" t="str"/>
      <x:c r="K156" s="22" t="str">
        <x:v>Not assessed</x:v>
      </x:c>
    </x:row>
    <x:row r="157" ht="84" customHeight="1">
      <x:c r="A157" s="18" t="str">
        <x:v>CFG-153</x:v>
      </x:c>
      <x:c r="B157" s="18" t="str">
        <x:v>G15</x:v>
      </x:c>
      <x:c r="C157" s="18" t="str">
        <x:v>G15.notification_repeat_s</x:v>
      </x:c>
      <x:c r="D157" s="18" t="str">
        <x:v>number</x:v>
      </x:c>
      <x:c r="E157" s="18" t="str">
        <x:v>s</x:v>
      </x:c>
      <x:c r="F157" s="18" t="str">
        <x:v>Commissioning required</x:v>
      </x:c>
      <x:c r="G157" s="18" t="str">
        <x:v>{"minimum": 1, "maximum": 31536000}</x:v>
      </x:c>
      <x:c r="H157" s="18" t="str">
        <x:v>POLICY</x:v>
      </x:c>
      <x:c r="I157" s="18" t="str">
        <x:v>Notification only, not physical episode closure</x:v>
      </x:c>
      <x:c r="J157" s="22" t="str"/>
      <x:c r="K157" s="22" t="str">
        <x:v>Not assessed</x:v>
      </x:c>
    </x:row>
    <x:row r="158" ht="84" customHeight="1">
      <x:c r="A158" s="18" t="str">
        <x:v>CFG-154</x:v>
      </x:c>
      <x:c r="B158" s="18" t="str">
        <x:v>G0</x:v>
      </x:c>
      <x:c r="C158" s="18" t="str">
        <x:v>G0.acquisition_mode</x:v>
      </x:c>
      <x:c r="D158" s="18" t="str">
        <x:v>enum</x:v>
      </x:c>
      <x:c r="E158" s="18" t="str">
        <x:v>contract</x:v>
      </x:c>
      <x:c r="F158" s="18" t="str">
        <x:v>Commissioning required</x:v>
      </x:c>
      <x:c r="G158" s="18" t="str">
        <x:v>["PERIODIC_NATIVE", "CHANGE_BASED", "AVERAGED", "INTERPOLATED"]</x:v>
      </x:c>
      <x:c r="H158" s="18" t="str">
        <x:v>STATE_BOUNDARY</x:v>
      </x:c>
      <x:c r="I158" s="18" t="str">
        <x:v>Approved source contract, cannot be fabricated in UI</x:v>
      </x:c>
      <x:c r="J158" s="22" t="str"/>
      <x:c r="K158" s="22" t="str">
        <x:v>Not assessed</x:v>
      </x:c>
    </x:row>
    <x:row r="159" ht="84" customHeight="1">
      <x:c r="A159" s="18" t="str">
        <x:v>CFG-155</x:v>
      </x:c>
      <x:c r="B159" s="18" t="str">
        <x:v>G1</x:v>
      </x:c>
      <x:c r="C159" s="18" t="str">
        <x:v>G1.auto_tokens</x:v>
      </x:c>
      <x:c r="D159" s="18" t="str">
        <x:v>string_array</x:v>
      </x:c>
      <x:c r="E159" s="18" t="str">
        <x:v>token</x:v>
      </x:c>
      <x:c r="F159" s="18" t="str">
        <x:v>Commissioning required</x:v>
      </x:c>
      <x:c r="G159" s="18" t="str">
        <x:v>{"minItems": 1, "maxItems": 50}</x:v>
      </x:c>
      <x:c r="H159" s="18" t="str">
        <x:v>STATE_BOUNDARY</x:v>
      </x:c>
      <x:c r="I159" s="18" t="str">
        <x:v>Vendor adapter map reviewed; unknown remains unknown</x:v>
      </x:c>
      <x:c r="J159" s="22" t="str"/>
      <x:c r="K159" s="22" t="str">
        <x:v>Not assessed</x:v>
      </x:c>
    </x:row>
    <x:row r="160" ht="84" customHeight="1">
      <x:c r="A160" s="18" t="str">
        <x:v>CFG-156</x:v>
      </x:c>
      <x:c r="B160" s="18" t="str">
        <x:v>G3</x:v>
      </x:c>
      <x:c r="C160" s="18" t="str">
        <x:v>G3.objective_type</x:v>
      </x:c>
      <x:c r="D160" s="18" t="str">
        <x:v>enum</x:v>
      </x:c>
      <x:c r="E160" s="18" t="str">
        <x:v>objective</x:v>
      </x:c>
      <x:c r="F160" s="18" t="str">
        <x:v>Commissioning required</x:v>
      </x:c>
      <x:c r="G160" s="18" t="str">
        <x:v>["TIGHT_TRACKING", "AVERAGING_INVENTORY", "RAMP_TRACKING", "CONSTRAINT_OPERATION"]</x:v>
      </x:c>
      <x:c r="H160" s="18" t="str">
        <x:v>STATE_BOUNDARY</x:v>
      </x:c>
      <x:c r="I160" s="18" t="str">
        <x:v>Separate objective from tag family</x:v>
      </x:c>
      <x:c r="J160" s="22" t="str"/>
      <x:c r="K160" s="22" t="str">
        <x:v>Not assessed</x:v>
      </x:c>
    </x:row>
    <x:row r="161" ht="84" customHeight="1">
      <x:c r="A161" s="18" t="str">
        <x:v>CFG-157</x:v>
      </x:c>
      <x:c r="B161" s="18" t="str">
        <x:v>G5</x:v>
      </x:c>
      <x:c r="C161" s="18" t="str">
        <x:v>G5.signal_role</x:v>
      </x:c>
      <x:c r="D161" s="18" t="str">
        <x:v>enum</x:v>
      </x:c>
      <x:c r="E161" s="18" t="str">
        <x:v>role</x:v>
      </x:c>
      <x:c r="F161" s="18" t="str">
        <x:v>Commissioning required</x:v>
      </x:c>
      <x:c r="G161" s="18" t="str">
        <x:v>["PV", "ERROR", "APPLIED_INPUT", "VP"]</x:v>
      </x:c>
      <x:c r="H161" s="18" t="str">
        <x:v>STATE_BOUNDARY</x:v>
      </x:c>
      <x:c r="I161" s="18" t="str">
        <x:v>Oscillation signals may differ from curve-fitting signal</x:v>
      </x:c>
      <x:c r="J161" s="22" t="str"/>
      <x:c r="K161" s="22" t="str">
        <x:v>Not assessed</x:v>
      </x:c>
    </x:row>
    <x:row r="162" ht="84" customHeight="1">
      <x:c r="A162" s="18" t="str">
        <x:v>CFG-158</x:v>
      </x:c>
      <x:c r="B162" s="18" t="str">
        <x:v>G6</x:v>
      </x:c>
      <x:c r="C162" s="18" t="str">
        <x:v>G6.estimator</x:v>
      </x:c>
      <x:c r="D162" s="18" t="str">
        <x:v>enum</x:v>
      </x:c>
      <x:c r="E162" s="18" t="str">
        <x:v>method</x:v>
      </x:c>
      <x:c r="F162" s="18" t="str">
        <x:v>Commissioning required</x:v>
      </x:c>
      <x:c r="G162" s="18" t="str">
        <x:v>["LEGACY_DFT", "WELCH_PSD"]</x:v>
      </x:c>
      <x:c r="H162" s="18" t="str">
        <x:v>STATE_BOUNDARY</x:v>
      </x:c>
      <x:c r="I162" s="18" t="str">
        <x:v>Only installed version selectable; no equivalence claim</x:v>
      </x:c>
      <x:c r="J162" s="22" t="str"/>
      <x:c r="K162" s="22" t="str">
        <x:v>Not assessed</x:v>
      </x:c>
    </x:row>
    <x:row r="163" ht="84" customHeight="1">
      <x:c r="A163" s="18" t="str">
        <x:v>CFG-159</x:v>
      </x:c>
      <x:c r="B163" s="18" t="str">
        <x:v>G7</x:v>
      </x:c>
      <x:c r="C163" s="18" t="str">
        <x:v>G7.shape_method</x:v>
      </x:c>
      <x:c r="D163" s="18" t="str">
        <x:v>enum</x:v>
      </x:c>
      <x:c r="E163" s="18" t="str">
        <x:v>method</x:v>
      </x:c>
      <x:c r="F163" s="18" t="str">
        <x:v>Commissioning required</x:v>
      </x:c>
      <x:c r="G163" s="18" t="str">
        <x:v>["CYCLE_SINE_TRIANGLE_V1"]</x:v>
      </x:c>
      <x:c r="H163" s="18" t="str">
        <x:v>STATE_BOUNDARY</x:v>
      </x:c>
      <x:c r="I163" s="18" t="str">
        <x:v>Exactly specified legacy-compatible or validated template adapter</x:v>
      </x:c>
      <x:c r="J163" s="22" t="str"/>
      <x:c r="K163" s="22" t="str">
        <x:v>Not assessed</x:v>
      </x:c>
    </x:row>
    <x:row r="164" ht="84" customHeight="1">
      <x:c r="A164" s="18" t="str">
        <x:v>CFG-160</x:v>
      </x:c>
      <x:c r="B164" s="18" t="str">
        <x:v>G8</x:v>
      </x:c>
      <x:c r="C164" s="18" t="str">
        <x:v>G8.method</x:v>
      </x:c>
      <x:c r="D164" s="18" t="str">
        <x:v>enum</x:v>
      </x:c>
      <x:c r="E164" s="18" t="str">
        <x:v>method</x:v>
      </x:c>
      <x:c r="F164" s="18" t="str">
        <x:v>Commissioning required</x:v>
      </x:c>
      <x:c r="G164" s="18" t="str">
        <x:v>["LAG_ASYMMETRY_V1", "BICOHERENCE_V1", "SURROGATE_NONLINEARITY_V1"]</x:v>
      </x:c>
      <x:c r="H164" s="18" t="str">
        <x:v>STATE_BOUNDARY</x:v>
      </x:c>
      <x:c r="I164" s="18" t="str">
        <x:v>Capability check rejects unimplemented methods</x:v>
      </x:c>
      <x:c r="J164" s="22" t="str"/>
      <x:c r="K164" s="22" t="str">
        <x:v>Not assessed</x:v>
      </x:c>
    </x:row>
    <x:row r="165" ht="84" customHeight="1">
      <x:c r="A165" s="18" t="str">
        <x:v>CFG-161</x:v>
      </x:c>
      <x:c r="B165" s="18" t="str">
        <x:v>G12</x:v>
      </x:c>
      <x:c r="C165" s="18" t="str">
        <x:v>G12.model_families</x:v>
      </x:c>
      <x:c r="D165" s="18" t="str">
        <x:v>string_array</x:v>
      </x:c>
      <x:c r="E165" s="18" t="str">
        <x:v>model</x:v>
      </x:c>
      <x:c r="F165" s="18" t="str">
        <x:v>Commissioning required</x:v>
      </x:c>
      <x:c r="G165" s="18" t="str">
        <x:v>{"minItems": 1, "maxItems": 8}</x:v>
      </x:c>
      <x:c r="H165" s="18" t="str">
        <x:v>STATE_BOUNDARY</x:v>
      </x:c>
      <x:c r="I165" s="18" t="str">
        <x:v>Subset of installed and domain-validated families only</x:v>
      </x:c>
      <x:c r="J165" s="22" t="str"/>
      <x:c r="K165" s="22" t="str">
        <x:v>Not assessed</x:v>
      </x:c>
    </x:row>
    <x:row r="166" ht="84" customHeight="1">
      <x:c r="A166" s="18" t="str">
        <x:v>CFG-162</x:v>
      </x:c>
      <x:c r="B166" s="18" t="str">
        <x:v>G12</x:v>
      </x:c>
      <x:c r="C166" s="18" t="str">
        <x:v>G12.estimator</x:v>
      </x:c>
      <x:c r="D166" s="18" t="str">
        <x:v>enum</x:v>
      </x:c>
      <x:c r="E166" s="18" t="str">
        <x:v>method</x:v>
      </x:c>
      <x:c r="F166" s="18" t="str">
        <x:v>Commissioning required</x:v>
      </x:c>
      <x:c r="G166" s="18" t="str">
        <x:v>["EXOGENOUS_OUTPUT_ERROR", "CLOSED_LOOP_PEM", "VALIDATED_IV"]</x:v>
      </x:c>
      <x:c r="H166" s="18" t="str">
        <x:v>STATE_BOUNDARY</x:v>
      </x:c>
      <x:c r="I166" s="18" t="str">
        <x:v>Estimator evidence prerequisites cannot be overridden</x:v>
      </x:c>
      <x:c r="J166" s="22" t="str"/>
      <x:c r="K166" s="22" t="str">
        <x:v>Not assessed</x:v>
      </x:c>
    </x:row>
    <x:row r="167" ht="84" customHeight="1">
      <x:c r="A167" s="18" t="str">
        <x:v>CFG-163</x:v>
      </x:c>
      <x:c r="B167" s="18" t="str">
        <x:v>G12</x:v>
      </x:c>
      <x:c r="C167" s="18" t="str">
        <x:v>G12.uncertainty_method</x:v>
      </x:c>
      <x:c r="D167" s="18" t="str">
        <x:v>enum</x:v>
      </x:c>
      <x:c r="E167" s="18" t="str">
        <x:v>method</x:v>
      </x:c>
      <x:c r="F167" s="18" t="str">
        <x:v>Commissioning required</x:v>
      </x:c>
      <x:c r="G167" s="18" t="str">
        <x:v>["PROFILE_LIKELIHOOD", "QUALIFIED_COVARIANCE", "BLOCK_BOOTSTRAP", "EVENT_BOOTSTRAP"]</x:v>
      </x:c>
      <x:c r="H167" s="18" t="str">
        <x:v>STATE_BOUNDARY</x:v>
      </x:c>
      <x:c r="I167" s="18" t="str">
        <x:v>Identified statistical method, not G15 confidence</x:v>
      </x:c>
      <x:c r="J167" s="22" t="str"/>
      <x:c r="K167" s="22" t="str">
        <x:v>Not assessed</x:v>
      </x:c>
    </x:row>
    <x:row r="168" ht="84" customHeight="1">
      <x:c r="A168" s="18" t="str">
        <x:v>CFG-164</x:v>
      </x:c>
      <x:c r="B168" s="18" t="str">
        <x:v>G13</x:v>
      </x:c>
      <x:c r="C168" s="18" t="str">
        <x:v>G13.peer_binding_ids</x:v>
      </x:c>
      <x:c r="D168" s="18" t="str">
        <x:v>string_array</x:v>
      </x:c>
      <x:c r="E168" s="18" t="str">
        <x:v>binding</x:v>
      </x:c>
      <x:c r="F168" s="18" t="str">
        <x:v>Commissioning required</x:v>
      </x:c>
      <x:c r="G168" s="18" t="str">
        <x:v>{"minItems": 0, "maxItems": 200}</x:v>
      </x:c>
      <x:c r="H168" s="18" t="str">
        <x:v>STATE_BOUNDARY</x:v>
      </x:c>
      <x:c r="I168" s="18" t="str">
        <x:v>Qualified as-of bindings, not arbitrary query paths</x:v>
      </x:c>
      <x:c r="J168" s="22" t="str"/>
      <x:c r="K168" s="22" t="str">
        <x:v>Not assessed</x:v>
      </x:c>
    </x:row>
    <x:row r="169" ht="84" customHeight="1">
      <x:c r="A169" s="18" t="str">
        <x:v>CFG-165</x:v>
      </x:c>
      <x:c r="B169" s="18" t="str">
        <x:v>G14</x:v>
      </x:c>
      <x:c r="C169" s="18" t="str">
        <x:v>G14.allowed_evidence_types</x:v>
      </x:c>
      <x:c r="D169" s="18" t="str">
        <x:v>string_array</x:v>
      </x:c>
      <x:c r="E169" s="18" t="str">
        <x:v>record</x:v>
      </x:c>
      <x:c r="F169" s="18" t="str">
        <x:v>Commissioning required</x:v>
      </x:c>
      <x:c r="G169" s="18" t="str">
        <x:v>{"minItems": 1, "maxItems": 20}</x:v>
      </x:c>
      <x:c r="H169" s="18" t="str">
        <x:v>POLICY</x:v>
      </x:c>
      <x:c r="I169" s="18" t="str">
        <x:v>Subset of approved scoped proof types; VP presence not a proof type</x:v>
      </x:c>
      <x:c r="J169" s="22" t="str"/>
      <x:c r="K169" s="22" t="str">
        <x:v>Not assessed</x:v>
      </x:c>
    </x:row>
  </x:sheetData>
  <x:mergeCells>
    <x:mergeCell ref="A1:K1"/>
    <x:mergeCell ref="A2:K2"/>
  </x:mergeCells>
  <x:dataValidations count="1">
    <x:dataValidation type="list" sqref="K5:K169">
      <x:formula1>"Not assessed,Reader implemented,Mutation test pending,Accepted,Unsupported"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d607bd40a74ae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36" hidden="0" customWidth="1"/>
    <x:col min="4" max="4" width="40" hidden="0" customWidth="1"/>
    <x:col min="5" max="5" width="22" hidden="0" customWidth="1"/>
    <x:col min="6" max="6" width="26" hidden="0" customWidth="1"/>
    <x:col min="7" max="7" width="20" hidden="0" customWidth="1"/>
    <x:col min="8" max="8" width="24" hidden="0" customWidth="1"/>
    <x:col min="9" max="9" width="38" hidden="0" customWidth="1"/>
    <x:col min="10" max="10" width="24" hidden="0" customWidth="1"/>
  </x:cols>
  <x:sheetData>
    <x:row r="1" ht="32" customHeight="1">
      <x:c r="A1" s="3" t="str">
        <x:v>NEXT-RELEASE APPLICATION ACCEPTANCE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6" customHeight="1">
      <x:c r="A2" s="7" t="str">
        <x:v>All 62 are unexecuted application scenarios. Isolated Python reference tests do not establish production acceptance.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0" customHeight="1">
      <x:c r="A4" s="12" t="str">
        <x:v>ID</x:v>
      </x:c>
      <x:c r="B4" s="12" t="str">
        <x:v>Area</x:v>
      </x:c>
      <x:c r="C4" s="12" t="str">
        <x:v>Scenario</x:v>
      </x:c>
      <x:c r="D4" s="12" t="str">
        <x:v>Expected result</x:v>
      </x:c>
      <x:c r="E4" s="12" t="str">
        <x:v>Gap IDs</x:v>
      </x:c>
      <x:c r="F4" s="12" t="str">
        <x:v>Owner</x:v>
      </x:c>
      <x:c r="G4" s="12" t="str">
        <x:v>Result</x:v>
      </x:c>
      <x:c r="H4" s="12" t="str">
        <x:v>Release commit</x:v>
      </x:c>
      <x:c r="I4" s="12" t="str">
        <x:v>Test evidence</x:v>
      </x:c>
      <x:c r="J4" s="12" t="str">
        <x:v>Reviewer</x:v>
      </x:c>
    </x:row>
    <x:row r="5" ht="84" customHeight="1">
      <x:c r="A5" s="18" t="str">
        <x:v>NR-001</x:v>
      </x:c>
      <x:c r="B5" s="18" t="str">
        <x:v>G12</x:v>
      </x:c>
      <x:c r="C5" s="18" t="str">
        <x:v>Synthetic FOPDT exogenous step</x:v>
      </x:c>
      <x:c r="D5" s="18" t="str">
        <x:v>Recover Kp=3, theta=4s, tau=20s under documented solver tolerance; correct t10/t90 and units</x:v>
      </x:c>
      <x:c r="E5" s="18" t="str">
        <x:v>R01</x:v>
      </x:c>
      <x:c r="F5" s="18" t="str">
        <x:v>QA + discipline owner</x:v>
      </x:c>
      <x:c r="G5" s="22" t="str">
        <x:v>Not executed</x:v>
      </x:c>
      <x:c r="H5" s="22" t="str"/>
      <x:c r="I5" s="22" t="str"/>
      <x:c r="J5" s="22" t="str"/>
    </x:row>
    <x:row r="6" ht="84" customHeight="1">
      <x:c r="A6" s="18" t="str">
        <x:v>NR-002</x:v>
      </x:c>
      <x:c r="B6" s="18" t="str">
        <x:v>G12</x:v>
      </x:c>
      <x:c r="C6" s="18" t="str">
        <x:v>Negative gain step</x:v>
      </x:c>
      <x:c r="D6" s="18" t="str">
        <x:v>Signed Kp negative; direction-normalized rise/overshoot remain correct</x:v>
      </x:c>
      <x:c r="E6" s="18" t="str">
        <x:v>R01</x:v>
      </x:c>
      <x:c r="F6" s="18" t="str">
        <x:v>QA + discipline owner</x:v>
      </x:c>
      <x:c r="G6" s="22" t="str">
        <x:v>Not executed</x:v>
      </x:c>
      <x:c r="H6" s="22" t="str"/>
      <x:c r="I6" s="22" t="str"/>
      <x:c r="J6" s="22" t="str"/>
    </x:row>
    <x:row r="7" ht="84" customHeight="1">
      <x:c r="A7" s="18" t="str">
        <x:v>NR-003</x:v>
      </x:c>
      <x:c r="B7" s="18" t="str">
        <x:v>G12</x:v>
      </x:c>
      <x:c r="C7" s="18" t="str">
        <x:v>Integrating level step</x:v>
      </x:c>
      <x:c r="D7" s="18" t="str">
        <x:v>Ki slope-change/input reported; static Kp and open-loop settling null</x:v>
      </x:c>
      <x:c r="E7" s="18" t="str">
        <x:v>R01 R25</x:v>
      </x:c>
      <x:c r="F7" s="18" t="str">
        <x:v>QA + discipline owner</x:v>
      </x:c>
      <x:c r="G7" s="22" t="str">
        <x:v>Not executed</x:v>
      </x:c>
      <x:c r="H7" s="22" t="str"/>
      <x:c r="I7" s="22" t="str"/>
      <x:c r="J7" s="22" t="str"/>
    </x:row>
    <x:row r="8" ht="84" customHeight="1">
      <x:c r="A8" s="18" t="str">
        <x:v>NR-004</x:v>
      </x:c>
      <x:c r="B8" s="18" t="str">
        <x:v>G12</x:v>
      </x:c>
      <x:c r="C8" s="18" t="str">
        <x:v>Closed-loop level response</x:v>
      </x:c>
      <x:c r="D8" s="18" t="str">
        <x:v>Finite servo response allowed despite integrating process; Kservo not Kp</x:v>
      </x:c>
      <x:c r="E8" s="18" t="str">
        <x:v>R01 R25</x:v>
      </x:c>
      <x:c r="F8" s="18" t="str">
        <x:v>QA + discipline owner</x:v>
      </x:c>
      <x:c r="G8" s="22" t="str">
        <x:v>Not executed</x:v>
      </x:c>
      <x:c r="H8" s="22" t="str"/>
      <x:c r="I8" s="22" t="str"/>
      <x:c r="J8" s="22" t="str"/>
    </x:row>
    <x:row r="9" ht="84" customHeight="1">
      <x:c r="A9" s="18" t="str">
        <x:v>NR-005</x:v>
      </x:c>
      <x:c r="B9" s="18" t="str">
        <x:v>G12</x:v>
      </x:c>
      <x:c r="C9" s="18" t="str">
        <x:v>Steady SP closed-loop routine noise</x:v>
      </x:c>
      <x:c r="D9" s="18" t="str">
        <x:v>No endpoint-ratio identification; require eligible PEM/IV or abstain</x:v>
      </x:c>
      <x:c r="E9" s="18" t="str">
        <x:v>R01</x:v>
      </x:c>
      <x:c r="F9" s="18" t="str">
        <x:v>QA + discipline owner</x:v>
      </x:c>
      <x:c r="G9" s="22" t="str">
        <x:v>Not executed</x:v>
      </x:c>
      <x:c r="H9" s="22" t="str"/>
      <x:c r="I9" s="22" t="str"/>
      <x:c r="J9" s="22" t="str"/>
    </x:row>
    <x:row r="10" ht="84" customHeight="1">
      <x:c r="A10" s="18" t="str">
        <x:v>NR-006</x:v>
      </x:c>
      <x:c r="B10" s="18" t="str">
        <x:v>G12</x:v>
      </x:c>
      <x:c r="C10" s="18" t="str">
        <x:v>Poor excitation</x:v>
      </x:c>
      <x:c r="D10" s="18" t="str">
        <x:v>No finite confident model invented from weak/constant input</x:v>
      </x:c>
      <x:c r="E10" s="18" t="str">
        <x:v>R01</x:v>
      </x:c>
      <x:c r="F10" s="18" t="str">
        <x:v>QA + discipline owner</x:v>
      </x:c>
      <x:c r="G10" s="22" t="str">
        <x:v>Not executed</x:v>
      </x:c>
      <x:c r="H10" s="22" t="str"/>
      <x:c r="I10" s="22" t="str"/>
      <x:c r="J10" s="22" t="str"/>
    </x:row>
    <x:row r="11" ht="84" customHeight="1">
      <x:c r="A11" s="18" t="str">
        <x:v>NR-007</x:v>
      </x:c>
      <x:c r="B11" s="18" t="str">
        <x:v>G12</x:v>
      </x:c>
      <x:c r="C11" s="18" t="str">
        <x:v>Step interrupted by another step</x:v>
      </x:c>
      <x:c r="D11" s="18" t="str">
        <x:v>Segment/censor; preserve both event records and real input sequence</x:v>
      </x:c>
      <x:c r="E11" s="18" t="str">
        <x:v>R01</x:v>
      </x:c>
      <x:c r="F11" s="18" t="str">
        <x:v>QA + discipline owner</x:v>
      </x:c>
      <x:c r="G11" s="22" t="str">
        <x:v>Not executed</x:v>
      </x:c>
      <x:c r="H11" s="22" t="str"/>
      <x:c r="I11" s="22" t="str"/>
      <x:c r="J11" s="22" t="str"/>
    </x:row>
    <x:row r="12" ht="84" customHeight="1">
      <x:c r="A12" s="18" t="str">
        <x:v>NR-008</x:v>
      </x:c>
      <x:c r="B12" s="18" t="str">
        <x:v>G12</x:v>
      </x:c>
      <x:c r="C12" s="18" t="str">
        <x:v>No stable final endpoint</x:v>
      </x:c>
      <x:c r="D12" s="18" t="str">
        <x:v>Settling/servo gain unavailable or censored; never use final chart sample</x:v>
      </x:c>
      <x:c r="E12" s="18" t="str">
        <x:v>R01</x:v>
      </x:c>
      <x:c r="F12" s="18" t="str">
        <x:v>QA + discipline owner</x:v>
      </x:c>
      <x:c r="G12" s="22" t="str">
        <x:v>Not executed</x:v>
      </x:c>
      <x:c r="H12" s="22" t="str"/>
      <x:c r="I12" s="22" t="str"/>
      <x:c r="J12" s="22" t="str"/>
    </x:row>
    <x:row r="13" ht="84" customHeight="1">
      <x:c r="A13" s="18" t="str">
        <x:v>NR-009</x:v>
      </x:c>
      <x:c r="B13" s="18" t="str">
        <x:v>G12</x:v>
      </x:c>
      <x:c r="C13" s="18" t="str">
        <x:v>Reference offset</x:v>
      </x:c>
      <x:c r="D13" s="18" t="str">
        <x:v>Endpoint settling may pass while target settling fails; retain bias</x:v>
      </x:c>
      <x:c r="E13" s="18" t="str">
        <x:v>R01</x:v>
      </x:c>
      <x:c r="F13" s="18" t="str">
        <x:v>QA + discipline owner</x:v>
      </x:c>
      <x:c r="G13" s="22" t="str">
        <x:v>Not executed</x:v>
      </x:c>
      <x:c r="H13" s="22" t="str"/>
      <x:c r="I13" s="22" t="str"/>
      <x:c r="J13" s="22" t="str"/>
    </x:row>
    <x:row r="14" ht="84" customHeight="1">
      <x:c r="A14" s="18" t="str">
        <x:v>NR-010</x:v>
      </x:c>
      <x:c r="B14" s="18" t="str">
        <x:v>G12</x:v>
      </x:c>
      <x:c r="C14" s="18" t="str">
        <x:v>Delay below source-time uncertainty</x:v>
      </x:c>
      <x:c r="D14" s="18" t="str">
        <x:v>Uncertainty/identifiability shown; no false sub-grid certainty</x:v>
      </x:c>
      <x:c r="E14" s="18" t="str">
        <x:v>R01 R03</x:v>
      </x:c>
      <x:c r="F14" s="18" t="str">
        <x:v>QA + discipline owner</x:v>
      </x:c>
      <x:c r="G14" s="22" t="str">
        <x:v>Not executed</x:v>
      </x:c>
      <x:c r="H14" s="22" t="str"/>
      <x:c r="I14" s="22" t="str"/>
      <x:c r="J14" s="22" t="str"/>
    </x:row>
    <x:row r="15" ht="84" customHeight="1">
      <x:c r="A15" s="18" t="str">
        <x:v>NR-011</x:v>
      </x:c>
      <x:c r="B15" s="18" t="str">
        <x:v>G12</x:v>
      </x:c>
      <x:c r="C15" s="18" t="str">
        <x:v>Independent model validation</x:v>
      </x:c>
      <x:c r="D15" s="18" t="str">
        <x:v>Whole event/time holdout; free-run and prediction separately reported</x:v>
      </x:c>
      <x:c r="E15" s="18" t="str">
        <x:v>R01</x:v>
      </x:c>
      <x:c r="F15" s="18" t="str">
        <x:v>QA + discipline owner</x:v>
      </x:c>
      <x:c r="G15" s="22" t="str">
        <x:v>Not executed</x:v>
      </x:c>
      <x:c r="H15" s="22" t="str"/>
      <x:c r="I15" s="22" t="str"/>
      <x:c r="J15" s="22" t="str"/>
    </x:row>
    <x:row r="16" ht="84" customHeight="1">
      <x:c r="A16" s="18" t="str">
        <x:v>NR-012</x:v>
      </x:c>
      <x:c r="B16" s="18" t="str">
        <x:v>G12</x:v>
      </x:c>
      <x:c r="C16" s="18" t="str">
        <x:v>Correlated residuals or invalid instruments</x:v>
      </x:c>
      <x:c r="D16" s="18" t="str">
        <x:v>Reject or limit model; lag/feedback interpretation is documented</x:v>
      </x:c>
      <x:c r="E16" s="18" t="str">
        <x:v>R01</x:v>
      </x:c>
      <x:c r="F16" s="18" t="str">
        <x:v>QA + discipline owner</x:v>
      </x:c>
      <x:c r="G16" s="22" t="str">
        <x:v>Not executed</x:v>
      </x:c>
      <x:c r="H16" s="22" t="str"/>
      <x:c r="I16" s="22" t="str"/>
      <x:c r="J16" s="22" t="str"/>
    </x:row>
    <x:row r="17" ht="84" customHeight="1">
      <x:c r="A17" s="18" t="str">
        <x:v>NR-013</x:v>
      </x:c>
      <x:c r="B17" s="18" t="str">
        <x:v>G12</x:v>
      </x:c>
      <x:c r="C17" s="18" t="str">
        <x:v>SOPDT repeated poles</x:v>
      </x:c>
      <x:c r="D17" s="18" t="str">
        <x:v>Stable simulation; no divide-by-zero; distinguish unresolved poles</x:v>
      </x:c>
      <x:c r="E17" s="18" t="str">
        <x:v>R01</x:v>
      </x:c>
      <x:c r="F17" s="18" t="str">
        <x:v>QA + discipline owner</x:v>
      </x:c>
      <x:c r="G17" s="22" t="str">
        <x:v>Not executed</x:v>
      </x:c>
      <x:c r="H17" s="22" t="str"/>
      <x:c r="I17" s="22" t="str"/>
      <x:c r="J17" s="22" t="str"/>
    </x:row>
    <x:row r="18" ht="84" customHeight="1">
      <x:c r="A18" s="18" t="str">
        <x:v>NR-014</x:v>
      </x:c>
      <x:c r="B18" s="18" t="str">
        <x:v>G12</x:v>
      </x:c>
      <x:c r="C18" s="18" t="str">
        <x:v>Unknown controller form</x:v>
      </x:c>
      <x:c r="D18" s="18" t="str">
        <x:v>No fabricated Kc conversion, stability margin or tuning-setting claim</x:v>
      </x:c>
      <x:c r="E18" s="18" t="str">
        <x:v>R01</x:v>
      </x:c>
      <x:c r="F18" s="18" t="str">
        <x:v>QA + discipline owner</x:v>
      </x:c>
      <x:c r="G18" s="22" t="str">
        <x:v>Not executed</x:v>
      </x:c>
      <x:c r="H18" s="22" t="str"/>
      <x:c r="I18" s="22" t="str"/>
      <x:c r="J18" s="22" t="str"/>
    </x:row>
    <x:row r="19" ht="84" customHeight="1">
      <x:c r="A19" s="18" t="str">
        <x:v>NR-015</x:v>
      </x:c>
      <x:c r="B19" s="18" t="str">
        <x:v>G12</x:v>
      </x:c>
      <x:c r="C19" s="18" t="str">
        <x:v>New controller/device/regime</x:v>
      </x:c>
      <x:c r="D19" s="18" t="str">
        <x:v>Model expired or segmented; no reuse across incompatible context</x:v>
      </x:c>
      <x:c r="E19" s="18" t="str">
        <x:v>R01 R19</x:v>
      </x:c>
      <x:c r="F19" s="18" t="str">
        <x:v>QA + discipline owner</x:v>
      </x:c>
      <x:c r="G19" s="22" t="str">
        <x:v>Not executed</x:v>
      </x:c>
      <x:c r="H19" s="22" t="str"/>
      <x:c r="I19" s="22" t="str"/>
      <x:c r="J19" s="22" t="str"/>
    </x:row>
    <x:row r="20" ht="84" customHeight="1">
      <x:c r="A20" s="18" t="str">
        <x:v>NR-016</x:v>
      </x:c>
      <x:c r="B20" s="18" t="str">
        <x:v>G12</x:v>
      </x:c>
      <x:c r="C20" s="18" t="str">
        <x:v>5 s samples on fast flow dynamics</x:v>
      </x:c>
      <x:c r="D20" s="18" t="str">
        <x:v>Method bandwidth reason; no arbitrary period/gain from aliased record</x:v>
      </x:c>
      <x:c r="E20" s="18" t="str">
        <x:v>R03 R25</x:v>
      </x:c>
      <x:c r="F20" s="18" t="str">
        <x:v>QA + discipline owner</x:v>
      </x:c>
      <x:c r="G20" s="22" t="str">
        <x:v>Not executed</x:v>
      </x:c>
      <x:c r="H20" s="22" t="str"/>
      <x:c r="I20" s="22" t="str"/>
      <x:c r="J20" s="22" t="str"/>
    </x:row>
    <x:row r="21" ht="84" customHeight="1">
      <x:c r="A21" s="18" t="str">
        <x:v>NR-017</x:v>
      </x:c>
      <x:c r="B21" s="18" t="str">
        <x:v>G12</x:v>
      </x:c>
      <x:c r="C21" s="18" t="str">
        <x:v>Longer than 24 h thermal event</x:v>
      </x:c>
      <x:c r="D21" s="18" t="str">
        <x:v>Supported capture policy or explicit capacity rejection; no silent truncation</x:v>
      </x:c>
      <x:c r="E21" s="18" t="str">
        <x:v>R11</x:v>
      </x:c>
      <x:c r="F21" s="18" t="str">
        <x:v>QA + discipline owner</x:v>
      </x:c>
      <x:c r="G21" s="22" t="str">
        <x:v>Not executed</x:v>
      </x:c>
      <x:c r="H21" s="22" t="str"/>
      <x:c r="I21" s="22" t="str"/>
      <x:c r="J21" s="22" t="str"/>
    </x:row>
    <x:row r="22" ht="84" customHeight="1">
      <x:c r="A22" s="18" t="str">
        <x:v>NR-018</x:v>
      </x:c>
      <x:c r="B22" s="18" t="str">
        <x:v>Signals</x:v>
      </x:c>
      <x:c r="C22" s="18" t="str">
        <x:v>Unit conversion</x:v>
      </x:c>
      <x:c r="D22" s="18" t="str">
        <x:v>Invariant normalized decisions and correct conversion of dimensional gain and bounds</x:v>
      </x:c>
      <x:c r="E22" s="18" t="str">
        <x:v>R06</x:v>
      </x:c>
      <x:c r="F22" s="18" t="str">
        <x:v>QA + discipline owner</x:v>
      </x:c>
      <x:c r="G22" s="22" t="str">
        <x:v>Not executed</x:v>
      </x:c>
      <x:c r="H22" s="22" t="str"/>
      <x:c r="I22" s="22" t="str"/>
      <x:c r="J22" s="22" t="str"/>
    </x:row>
    <x:row r="23" ht="84" customHeight="1">
      <x:c r="A23" s="18" t="str">
        <x:v>NR-019</x:v>
      </x:c>
      <x:c r="B23" s="18" t="str">
        <x:v>Signals</x:v>
      </x:c>
      <x:c r="C23" s="18" t="str">
        <x:v>Sparse change-based source</x:v>
      </x:c>
      <x:c r="D23" s="18" t="str">
        <x:v>No periodic-completeness fiction or unbounded hold; source contract retained</x:v>
      </x:c>
      <x:c r="E23" s="18" t="str">
        <x:v>R03 R04</x:v>
      </x:c>
      <x:c r="F23" s="18" t="str">
        <x:v>QA + discipline owner</x:v>
      </x:c>
      <x:c r="G23" s="22" t="str">
        <x:v>Not executed</x:v>
      </x:c>
      <x:c r="H23" s="22" t="str"/>
      <x:c r="I23" s="22" t="str"/>
      <x:c r="J23" s="22" t="str"/>
    </x:row>
    <x:row r="24" ht="84" customHeight="1">
      <x:c r="A24" s="18" t="str">
        <x:v>NR-020</x:v>
      </x:c>
      <x:c r="B24" s="18" t="str">
        <x:v>Signals</x:v>
      </x:c>
      <x:c r="C24" s="18" t="str">
        <x:v>Stale optional VP/MODE</x:v>
      </x:c>
      <x:c r="D24" s="18" t="str">
        <x:v>Unavailable relevant evidence; latest tuple time cannot freshen old member</x:v>
      </x:c>
      <x:c r="E24" s="18" t="str">
        <x:v>R03</x:v>
      </x:c>
      <x:c r="F24" s="18" t="str">
        <x:v>QA + discipline owner</x:v>
      </x:c>
      <x:c r="G24" s="22" t="str">
        <x:v>Not executed</x:v>
      </x:c>
      <x:c r="H24" s="22" t="str"/>
      <x:c r="I24" s="22" t="str"/>
      <x:c r="J24" s="22" t="str"/>
    </x:row>
    <x:row r="25" ht="84" customHeight="1">
      <x:c r="A25" s="18" t="str">
        <x:v>NR-021</x:v>
      </x:c>
      <x:c r="B25" s="18" t="str">
        <x:v>Signals</x:v>
      </x:c>
      <x:c r="C25" s="18" t="str">
        <x:v>BAD numeric/unknown quality</x:v>
      </x:c>
      <x:c r="D25" s="18" t="str">
        <x:v>Strict decoding; not GOOD from null/numeric0/arbitrary g-prefix</x:v>
      </x:c>
      <x:c r="E25" s="18" t="str">
        <x:v>R04</x:v>
      </x:c>
      <x:c r="F25" s="18" t="str">
        <x:v>QA + discipline owner</x:v>
      </x:c>
      <x:c r="G25" s="22" t="str">
        <x:v>Not executed</x:v>
      </x:c>
      <x:c r="H25" s="22" t="str"/>
      <x:c r="I25" s="22" t="str"/>
      <x:c r="J25" s="22" t="str"/>
    </x:row>
    <x:row r="26" ht="84" customHeight="1">
      <x:c r="A26" s="18" t="str">
        <x:v>NR-022</x:v>
      </x:c>
      <x:c r="B26" s="18" t="str">
        <x:v>Signals</x:v>
      </x:c>
      <x:c r="C26" s="18" t="str">
        <x:v>Same numeric value, changed quality</x:v>
      </x:c>
      <x:c r="D26" s="18" t="str">
        <x:v>Quality transition delivered immediately despite RBE deadband</x:v>
      </x:c>
      <x:c r="E26" s="18" t="str">
        <x:v>R20</x:v>
      </x:c>
      <x:c r="F26" s="18" t="str">
        <x:v>QA + discipline owner</x:v>
      </x:c>
      <x:c r="G26" s="22" t="str">
        <x:v>Not executed</x:v>
      </x:c>
      <x:c r="H26" s="22" t="str"/>
      <x:c r="I26" s="22" t="str"/>
      <x:c r="J26" s="22" t="str"/>
    </x:row>
    <x:row r="27" ht="84" customHeight="1">
      <x:c r="A27" s="18" t="str">
        <x:v>NR-023</x:v>
      </x:c>
      <x:c r="B27" s="18" t="str">
        <x:v>Signals</x:v>
      </x:c>
      <x:c r="C27" s="18" t="str">
        <x:v>Heartbeat only</x:v>
      </x:c>
      <x:c r="D27" s="18" t="str">
        <x:v>Emission updated but source verified age unchanged</x:v>
      </x:c>
      <x:c r="E27" s="18" t="str">
        <x:v>R20</x:v>
      </x:c>
      <x:c r="F27" s="18" t="str">
        <x:v>QA + discipline owner</x:v>
      </x:c>
      <x:c r="G27" s="22" t="str">
        <x:v>Not executed</x:v>
      </x:c>
      <x:c r="H27" s="22" t="str"/>
      <x:c r="I27" s="22" t="str"/>
      <x:c r="J27" s="22" t="str"/>
    </x:row>
    <x:row r="28" ht="84" customHeight="1">
      <x:c r="A28" s="18" t="str">
        <x:v>NR-024</x:v>
      </x:c>
      <x:c r="B28" s="18" t="str">
        <x:v>Signals</x:v>
      </x:c>
      <x:c r="C28" s="18" t="str">
        <x:v>Known output maximum 80%</x:v>
      </x:c>
      <x:c r="D28" s="18" t="str">
        <x:v>Limit detected using actual range, not 95% fallback</x:v>
      </x:c>
      <x:c r="E28" s="18" t="str">
        <x:v>R08</x:v>
      </x:c>
      <x:c r="F28" s="18" t="str">
        <x:v>QA + discipline owner</x:v>
      </x:c>
      <x:c r="G28" s="22" t="str">
        <x:v>Not executed</x:v>
      </x:c>
      <x:c r="H28" s="22" t="str"/>
      <x:c r="I28" s="22" t="str"/>
      <x:c r="J28" s="22" t="str"/>
    </x:row>
    <x:row r="29" ht="84" customHeight="1">
      <x:c r="A29" s="18" t="str">
        <x:v>NR-025</x:v>
      </x:c>
      <x:c r="B29" s="18" t="str">
        <x:v>Signals</x:v>
      </x:c>
      <x:c r="C29" s="18" t="str">
        <x:v>One-hour freeze in 24 h</x:v>
      </x:c>
      <x:c r="D29" s="18" t="str">
        <x:v>Episode retained; legitimate historian hold distinguished</x:v>
      </x:c>
      <x:c r="E29" s="18" t="str">
        <x:v>R08</x:v>
      </x:c>
      <x:c r="F29" s="18" t="str">
        <x:v>QA + discipline owner</x:v>
      </x:c>
      <x:c r="G29" s="22" t="str">
        <x:v>Not executed</x:v>
      </x:c>
      <x:c r="H29" s="22" t="str"/>
      <x:c r="I29" s="22" t="str"/>
      <x:c r="J29" s="22" t="str"/>
    </x:row>
    <x:row r="30" ht="84" customHeight="1">
      <x:c r="A30" s="18" t="str">
        <x:v>NR-026</x:v>
      </x:c>
      <x:c r="B30" s="18" t="str">
        <x:v>Fusion</x:v>
      </x:c>
      <x:c r="C30" s="18" t="str">
        <x:v>Effort-only with VP mapped</x:v>
      </x:c>
      <x:c r="D30" s="18" t="str">
        <x:v>No confirmed final-element nonlinearity without scoped physical proof</x:v>
      </x:c>
      <x:c r="E30" s="18" t="str">
        <x:v>R02</x:v>
      </x:c>
      <x:c r="F30" s="18" t="str">
        <x:v>QA + discipline owner</x:v>
      </x:c>
      <x:c r="G30" s="22" t="str">
        <x:v>Not executed</x:v>
      </x:c>
      <x:c r="H30" s="22" t="str"/>
      <x:c r="I30" s="22" t="str"/>
      <x:c r="J30" s="22" t="str"/>
    </x:row>
    <x:row r="31" ht="84" customHeight="1">
      <x:c r="A31" s="18" t="str">
        <x:v>NR-027</x:v>
      </x:c>
      <x:c r="B31" s="18" t="str">
        <x:v>Fusion</x:v>
      </x:c>
      <x:c r="C31" s="18" t="str">
        <x:v>Purely linear phase delay</x:v>
      </x:c>
      <x:c r="D31" s="18" t="str">
        <x:v>G8/geometry cannot independently confirm stiction</x:v>
      </x:c>
      <x:c r="E31" s="18" t="str">
        <x:v>R07</x:v>
      </x:c>
      <x:c r="F31" s="18" t="str">
        <x:v>QA + discipline owner</x:v>
      </x:c>
      <x:c r="G31" s="22" t="str">
        <x:v>Not executed</x:v>
      </x:c>
      <x:c r="H31" s="22" t="str"/>
      <x:c r="I31" s="22" t="str"/>
      <x:c r="J31" s="22" t="str"/>
    </x:row>
    <x:row r="32" ht="84" customHeight="1">
      <x:c r="A32" s="18" t="str">
        <x:v>NR-028</x:v>
      </x:c>
      <x:c r="B32" s="18" t="str">
        <x:v>Fusion</x:v>
      </x:c>
      <x:c r="C32" s="18" t="str">
        <x:v>Upstream link but no peer measurements</x:v>
      </x:c>
      <x:c r="D32" s="18" t="str">
        <x:v>No source/victim conclusion from link existence</x:v>
      </x:c>
      <x:c r="E32" s="18" t="str">
        <x:v>R09</x:v>
      </x:c>
      <x:c r="F32" s="18" t="str">
        <x:v>QA + discipline owner</x:v>
      </x:c>
      <x:c r="G32" s="22" t="str">
        <x:v>Not executed</x:v>
      </x:c>
      <x:c r="H32" s="22" t="str"/>
      <x:c r="I32" s="22" t="str"/>
      <x:c r="J32" s="22" t="str"/>
    </x:row>
    <x:row r="33" ht="84" customHeight="1">
      <x:c r="A33" s="18" t="str">
        <x:v>NR-029</x:v>
      </x:c>
      <x:c r="B33" s="18" t="str">
        <x:v>Fusion</x:v>
      </x:c>
      <x:c r="C33" s="18" t="str">
        <x:v>Repeated overlapping windows</x:v>
      </x:c>
      <x:c r="D33" s="18" t="str">
        <x:v>Persistence based on qualified distinct support; no multiplied independent evidence</x:v>
      </x:c>
      <x:c r="E33" s="18" t="str">
        <x:v>R10</x:v>
      </x:c>
      <x:c r="F33" s="18" t="str">
        <x:v>QA + discipline owner</x:v>
      </x:c>
      <x:c r="G33" s="22" t="str">
        <x:v>Not executed</x:v>
      </x:c>
      <x:c r="H33" s="22" t="str"/>
      <x:c r="I33" s="22" t="str"/>
      <x:c r="J33" s="22" t="str"/>
    </x:row>
    <x:row r="34" ht="84" customHeight="1">
      <x:c r="A34" s="18" t="str">
        <x:v>NR-030</x:v>
      </x:c>
      <x:c r="B34" s="18" t="str">
        <x:v>Fusion</x:v>
      </x:c>
      <x:c r="C34" s="18" t="str">
        <x:v>No data or NAMUR source outage</x:v>
      </x:c>
      <x:c r="D34" s="18" t="str">
        <x:v>Open condition not automatically recovered/closed</x:v>
      </x:c>
      <x:c r="E34" s="18" t="str">
        <x:v>R10</x:v>
      </x:c>
      <x:c r="F34" s="18" t="str">
        <x:v>QA + discipline owner</x:v>
      </x:c>
      <x:c r="G34" s="22" t="str">
        <x:v>Not executed</x:v>
      </x:c>
      <x:c r="H34" s="22" t="str"/>
      <x:c r="I34" s="22" t="str"/>
      <x:c r="J34" s="22" t="str"/>
    </x:row>
    <x:row r="35" ht="84" customHeight="1">
      <x:c r="A35" s="18" t="str">
        <x:v>NR-031</x:v>
      </x:c>
      <x:c r="B35" s="18" t="str">
        <x:v>UI</x:v>
      </x:c>
      <x:c r="C35" s="18" t="str">
        <x:v>Historical gate click</x:v>
      </x:c>
      <x:c r="D35" s="18" t="str">
        <x:v>Exact methodRunId, not latest result or current profile</x:v>
      </x:c>
      <x:c r="E35" s="18" t="str">
        <x:v>R12 R13</x:v>
      </x:c>
      <x:c r="F35" s="18" t="str">
        <x:v>QA + discipline owner</x:v>
      </x:c>
      <x:c r="G35" s="22" t="str">
        <x:v>Not executed</x:v>
      </x:c>
      <x:c r="H35" s="22" t="str"/>
      <x:c r="I35" s="22" t="str"/>
      <x:c r="J35" s="22" t="str"/>
    </x:row>
    <x:row r="36" ht="84" customHeight="1">
      <x:c r="A36" s="18" t="str">
        <x:v>NR-032</x:v>
      </x:c>
      <x:c r="B36" s="18" t="str">
        <x:v>UI</x:v>
      </x:c>
      <x:c r="C36" s="18" t="str">
        <x:v>G5–G9 artifact panels</x:v>
      </x:c>
      <x:c r="D36" s="18" t="str">
        <x:v>Actual ACF/PSD/cycle fits/lag functions/ordered geometry; no generic substitutes</x:v>
      </x:c>
      <x:c r="E36" s="18" t="str">
        <x:v>R12</x:v>
      </x:c>
      <x:c r="F36" s="18" t="str">
        <x:v>QA + discipline owner</x:v>
      </x:c>
      <x:c r="G36" s="22" t="str">
        <x:v>Not executed</x:v>
      </x:c>
      <x:c r="H36" s="22" t="str"/>
      <x:c r="I36" s="22" t="str"/>
      <x:c r="J36" s="22" t="str"/>
    </x:row>
    <x:row r="37" ht="84" customHeight="1">
      <x:c r="A37" s="18" t="str">
        <x:v>NR-033</x:v>
      </x:c>
      <x:c r="B37" s="18" t="str">
        <x:v>UI</x:v>
      </x:c>
      <x:c r="C37" s="18" t="str">
        <x:v>Mixed engineering units</x:v>
      </x:c>
      <x:c r="D37" s="18" t="str">
        <x:v>Separate axes/panes and explicit units for PV/SP versus OP/VP</x:v>
      </x:c>
      <x:c r="E37" s="18" t="str">
        <x:v>R14</x:v>
      </x:c>
      <x:c r="F37" s="18" t="str">
        <x:v>QA + discipline owner</x:v>
      </x:c>
      <x:c r="G37" s="22" t="str">
        <x:v>Not executed</x:v>
      </x:c>
      <x:c r="H37" s="22" t="str"/>
      <x:c r="I37" s="22" t="str"/>
      <x:c r="J37" s="22" t="str"/>
    </x:row>
    <x:row r="38" ht="84" customHeight="1">
      <x:c r="A38" s="18" t="str">
        <x:v>NR-034</x:v>
      </x:c>
      <x:c r="B38" s="18" t="str">
        <x:v>UI</x:v>
      </x:c>
      <x:c r="C38" s="18" t="str">
        <x:v>Unavailable method artifact</x:v>
      </x:c>
      <x:c r="D38" s="18" t="str">
        <x:v>Reason plus build capability; not empty zero chart or fabricated fit</x:v>
      </x:c>
      <x:c r="E38" s="18" t="str">
        <x:v>R12</x:v>
      </x:c>
      <x:c r="F38" s="18" t="str">
        <x:v>QA + discipline owner</x:v>
      </x:c>
      <x:c r="G38" s="22" t="str">
        <x:v>Not executed</x:v>
      </x:c>
      <x:c r="H38" s="22" t="str"/>
      <x:c r="I38" s="22" t="str"/>
      <x:c r="J38" s="22" t="str"/>
    </x:row>
    <x:row r="39" ht="84" customHeight="1">
      <x:c r="A39" s="18" t="str">
        <x:v>NR-035</x:v>
      </x:c>
      <x:c r="B39" s="18" t="str">
        <x:v>UI</x:v>
      </x:c>
      <x:c r="C39" s="18" t="str">
        <x:v>Model confidence/prediction bands</x:v>
      </x:c>
      <x:c r="D39" s="18" t="str">
        <x:v>Different band meaning and support labelled; table export matches artifact</x:v>
      </x:c>
      <x:c r="E39" s="18" t="str">
        <x:v>R12</x:v>
      </x:c>
      <x:c r="F39" s="18" t="str">
        <x:v>QA + discipline owner</x:v>
      </x:c>
      <x:c r="G39" s="22" t="str">
        <x:v>Not executed</x:v>
      </x:c>
      <x:c r="H39" s="22" t="str"/>
      <x:c r="I39" s="22" t="str"/>
      <x:c r="J39" s="22" t="str"/>
    </x:row>
    <x:row r="40" ht="84" customHeight="1">
      <x:c r="A40" s="18" t="str">
        <x:v>NR-036</x:v>
      </x:c>
      <x:c r="B40" s="18" t="str">
        <x:v>NAMUR</x:v>
      </x:c>
      <x:c r="C40" s="18" t="str">
        <x:v>All F/C/S/M and simultaneous flags</x:v>
      </x:c>
      <x:c r="D40" s="18" t="str">
        <x:v>Native flags preserved; app primary policy distinct and reversible</x:v>
      </x:c>
      <x:c r="E40" s="18" t="str">
        <x:v>R15</x:v>
      </x:c>
      <x:c r="F40" s="18" t="str">
        <x:v>QA + discipline owner</x:v>
      </x:c>
      <x:c r="G40" s="22" t="str">
        <x:v>Not executed</x:v>
      </x:c>
      <x:c r="H40" s="22" t="str"/>
      <x:c r="I40" s="22" t="str"/>
      <x:c r="J40" s="22" t="str"/>
    </x:row>
    <x:row r="41" ht="84" customHeight="1">
      <x:c r="A41" s="18" t="str">
        <x:v>NR-037</x:v>
      </x:c>
      <x:c r="B41" s="18" t="str">
        <x:v>NAMUR</x:v>
      </x:c>
      <x:c r="C41" s="18" t="str">
        <x:v>Complete verified empty state</x:v>
      </x:c>
      <x:c r="D41" s="18" t="str">
        <x:v>Clear only after legitimate full state with verified source freshness</x:v>
      </x:c>
      <x:c r="E41" s="18" t="str">
        <x:v>R15</x:v>
      </x:c>
      <x:c r="F41" s="18" t="str">
        <x:v>QA + discipline owner</x:v>
      </x:c>
      <x:c r="G41" s="22" t="str">
        <x:v>Not executed</x:v>
      </x:c>
      <x:c r="H41" s="22" t="str"/>
      <x:c r="I41" s="22" t="str"/>
      <x:c r="J41" s="22" t="str"/>
    </x:row>
    <x:row r="42" ht="84" customHeight="1">
      <x:c r="A42" s="18" t="str">
        <x:v>NR-038</x:v>
      </x:c>
      <x:c r="B42" s="18" t="str">
        <x:v>NAMUR</x:v>
      </x:c>
      <x:c r="C42" s="18" t="str">
        <x:v>Stale retained snapshot</x:v>
      </x:c>
      <x:c r="D42" s="18" t="str">
        <x:v>Displays stale/unknown; does not establish fresh clear or recovery</x:v>
      </x:c>
      <x:c r="E42" s="18" t="str">
        <x:v>R15</x:v>
      </x:c>
      <x:c r="F42" s="18" t="str">
        <x:v>QA + discipline owner</x:v>
      </x:c>
      <x:c r="G42" s="22" t="str">
        <x:v>Not executed</x:v>
      </x:c>
      <x:c r="H42" s="22" t="str"/>
      <x:c r="I42" s="22" t="str"/>
      <x:c r="J42" s="22" t="str"/>
    </x:row>
    <x:row r="43" ht="84" customHeight="1">
      <x:c r="A43" s="18" t="str">
        <x:v>NR-039</x:v>
      </x:c>
      <x:c r="B43" s="18" t="str">
        <x:v>NAMUR</x:v>
      </x:c>
      <x:c r="C43" s="18" t="str">
        <x:v>Duplicate and conflicting observation ID</x:v>
      </x:c>
      <x:c r="D43" s="18" t="str">
        <x:v>Exact duplicate idempotent; differing payload quarantined</x:v>
      </x:c>
      <x:c r="E43" s="18" t="str">
        <x:v>R15</x:v>
      </x:c>
      <x:c r="F43" s="18" t="str">
        <x:v>QA + discipline owner</x:v>
      </x:c>
      <x:c r="G43" s="22" t="str">
        <x:v>Not executed</x:v>
      </x:c>
      <x:c r="H43" s="22" t="str"/>
      <x:c r="I43" s="22" t="str"/>
      <x:c r="J43" s="22" t="str"/>
    </x:row>
    <x:row r="44" ht="84" customHeight="1">
      <x:c r="A44" s="18" t="str">
        <x:v>NR-040</x:v>
      </x:c>
      <x:c r="B44" s="18" t="str">
        <x:v>NAMUR</x:v>
      </x:c>
      <x:c r="C44" s="18" t="str">
        <x:v>Restart/epoch and out-of-order event</x:v>
      </x:c>
      <x:c r="D44" s="18" t="str">
        <x:v>New full snapshot/reconciliation; old sequence cannot overwrite newer state</x:v>
      </x:c>
      <x:c r="E44" s="18" t="str">
        <x:v>R15</x:v>
      </x:c>
      <x:c r="F44" s="18" t="str">
        <x:v>QA + discipline owner</x:v>
      </x:c>
      <x:c r="G44" s="22" t="str">
        <x:v>Not executed</x:v>
      </x:c>
      <x:c r="H44" s="22" t="str"/>
      <x:c r="I44" s="22" t="str"/>
      <x:c r="J44" s="22" t="str"/>
    </x:row>
    <x:row r="45" ht="84" customHeight="1">
      <x:c r="A45" s="18" t="str">
        <x:v>NR-041</x:v>
      </x:c>
      <x:c r="B45" s="18" t="str">
        <x:v>NAMUR</x:v>
      </x:c>
      <x:c r="C45" s="18" t="str">
        <x:v>Temporal hardware replacement</x:v>
      </x:c>
      <x:c r="D45" s="18" t="str">
        <x:v>Correct source device for old interval; new transmitter not retroactively substituted</x:v>
      </x:c>
      <x:c r="E45" s="18" t="str">
        <x:v>R15 R19</x:v>
      </x:c>
      <x:c r="F45" s="18" t="str">
        <x:v>QA + discipline owner</x:v>
      </x:c>
      <x:c r="G45" s="22" t="str">
        <x:v>Not executed</x:v>
      </x:c>
      <x:c r="H45" s="22" t="str"/>
      <x:c r="I45" s="22" t="str"/>
      <x:c r="J45" s="22" t="str"/>
    </x:row>
    <x:row r="46" ht="84" customHeight="1">
      <x:c r="A46" s="18" t="str">
        <x:v>NR-042</x:v>
      </x:c>
      <x:c r="B46" s="18" t="str">
        <x:v>NAMUR</x:v>
      </x:c>
      <x:c r="C46" s="18" t="str">
        <x:v>Variable-specific fault</x:v>
      </x:c>
      <x:c r="D46" s="18" t="str">
        <x:v>Affected PV qualifications updated; unrelated channel not blindly invalidated</x:v>
      </x:c>
      <x:c r="E46" s="18" t="str">
        <x:v>R15</x:v>
      </x:c>
      <x:c r="F46" s="18" t="str">
        <x:v>QA + discipline owner</x:v>
      </x:c>
      <x:c r="G46" s="22" t="str">
        <x:v>Not executed</x:v>
      </x:c>
      <x:c r="H46" s="22" t="str"/>
      <x:c r="I46" s="22" t="str"/>
      <x:c r="J46" s="22" t="str"/>
    </x:row>
    <x:row r="47" ht="84" customHeight="1">
      <x:c r="A47" s="18" t="str">
        <x:v>NR-043</x:v>
      </x:c>
      <x:c r="B47" s="18" t="str">
        <x:v>NAMUR</x:v>
      </x:c>
      <x:c r="C47" s="18" t="str">
        <x:v>Affected F or Function Check during response</x:v>
      </x:c>
      <x:c r="D47" s="18" t="str">
        <x:v>Censor/qualify G12; no invalid interval training/confirmation</x:v>
      </x:c>
      <x:c r="E47" s="18" t="str">
        <x:v>R15 R01</x:v>
      </x:c>
      <x:c r="F47" s="18" t="str">
        <x:v>QA + discipline owner</x:v>
      </x:c>
      <x:c r="G47" s="22" t="str">
        <x:v>Not executed</x:v>
      </x:c>
      <x:c r="H47" s="22" t="str"/>
      <x:c r="I47" s="22" t="str"/>
      <x:c r="J47" s="22" t="str"/>
    </x:row>
    <x:row r="48" ht="84" customHeight="1">
      <x:c r="A48" s="18" t="str">
        <x:v>NR-044</x:v>
      </x:c>
      <x:c r="B48" s="18" t="str">
        <x:v>NAMUR</x:v>
      </x:c>
      <x:c r="C48" s="18" t="str">
        <x:v>M with valid measurement or missing integration</x:v>
      </x:c>
      <x:c r="D48" s="18" t="str">
        <x:v>M is context, no false sensor invalidity; unconfigured integration explicitly unavailable</x:v>
      </x:c>
      <x:c r="E48" s="18" t="str">
        <x:v>R15</x:v>
      </x:c>
      <x:c r="F48" s="18" t="str">
        <x:v>QA + discipline owner</x:v>
      </x:c>
      <x:c r="G48" s="22" t="str">
        <x:v>Not executed</x:v>
      </x:c>
      <x:c r="H48" s="22" t="str"/>
      <x:c r="I48" s="22" t="str"/>
      <x:c r="J48" s="22" t="str"/>
    </x:row>
    <x:row r="49" ht="84" customHeight="1">
      <x:c r="A49" s="18" t="str">
        <x:v>NR-045</x:v>
      </x:c>
      <x:c r="B49" s="18" t="str">
        <x:v>NAMUR</x:v>
      </x:c>
      <x:c r="C49" s="18" t="str">
        <x:v>Late correction</x:v>
      </x:c>
      <x:c r="D49" s="18" t="str">
        <x:v>Versioned historical revision; preserve original belief and no live replay side effects</x:v>
      </x:c>
      <x:c r="E49" s="18" t="str">
        <x:v>R15 R19</x:v>
      </x:c>
      <x:c r="F49" s="18" t="str">
        <x:v>QA + discipline owner</x:v>
      </x:c>
      <x:c r="G49" s="22" t="str">
        <x:v>Not executed</x:v>
      </x:c>
      <x:c r="H49" s="22" t="str"/>
      <x:c r="I49" s="22" t="str"/>
      <x:c r="J49" s="22" t="str"/>
    </x:row>
    <x:row r="50" ht="84" customHeight="1">
      <x:c r="A50" s="18" t="str">
        <x:v>NR-046</x:v>
      </x:c>
      <x:c r="B50" s="18" t="str">
        <x:v>Config</x:v>
      </x:c>
      <x:c r="C50" s="18" t="str">
        <x:v>Every exposed property mutation</x:v>
      </x:c>
      <x:c r="D50" s="18" t="str">
        <x:v>165 catalogue fields bound to deployed readers or explicitly unsupported; tested behavioral effect</x:v>
      </x:c>
      <x:c r="E50" s="18" t="str">
        <x:v>R16</x:v>
      </x:c>
      <x:c r="F50" s="18" t="str">
        <x:v>QA + discipline owner</x:v>
      </x:c>
      <x:c r="G50" s="22" t="str">
        <x:v>Not executed</x:v>
      </x:c>
      <x:c r="H50" s="22" t="str"/>
      <x:c r="I50" s="22" t="str"/>
      <x:c r="J50" s="22" t="str"/>
    </x:row>
    <x:row r="51" ht="84" customHeight="1">
      <x:c r="A51" s="18" t="str">
        <x:v>NR-047</x:v>
      </x:c>
      <x:c r="B51" s="18" t="str">
        <x:v>Config</x:v>
      </x:c>
      <x:c r="C51" s="18" t="str">
        <x:v>Partial override inheritance</x:v>
      </x:c>
      <x:c r="D51" s="18" t="str">
        <x:v>Deep deterministic merge; unrelated commissioned values preserved</x:v>
      </x:c>
      <x:c r="E51" s="18" t="str">
        <x:v>R17</x:v>
      </x:c>
      <x:c r="F51" s="18" t="str">
        <x:v>QA + discipline owner</x:v>
      </x:c>
      <x:c r="G51" s="22" t="str">
        <x:v>Not executed</x:v>
      </x:c>
      <x:c r="H51" s="22" t="str"/>
      <x:c r="I51" s="22" t="str"/>
      <x:c r="J51" s="22" t="str"/>
    </x:row>
    <x:row r="52" ht="84" customHeight="1">
      <x:c r="A52" s="18" t="str">
        <x:v>NR-048</x:v>
      </x:c>
      <x:c r="B52" s="18" t="str">
        <x:v>Config</x:v>
      </x:c>
      <x:c r="C52" s="18" t="str">
        <x:v>Wrong loop/site or unknown field</x:v>
      </x:c>
      <x:c r="D52" s="18" t="str">
        <x:v>Reject without cross-loop leakage or silent ignore</x:v>
      </x:c>
      <x:c r="E52" s="18" t="str">
        <x:v>R17 R23</x:v>
      </x:c>
      <x:c r="F52" s="18" t="str">
        <x:v>QA + discipline owner</x:v>
      </x:c>
      <x:c r="G52" s="22" t="str">
        <x:v>Not executed</x:v>
      </x:c>
      <x:c r="H52" s="22" t="str"/>
      <x:c r="I52" s="22" t="str"/>
      <x:c r="J52" s="22" t="str"/>
    </x:row>
    <x:row r="53" ht="84" customHeight="1">
      <x:c r="A53" s="18" t="str">
        <x:v>NR-049</x:v>
      </x:c>
      <x:c r="B53" s="18" t="str">
        <x:v>Config</x:v>
      </x:c>
      <x:c r="C53" s="18" t="str">
        <x:v>Invalid scalar/bounds/dependent parameters</x:v>
      </x:c>
      <x:c r="D53" s="18" t="str">
        <x:v>NaN/Inf, inverted limits, absent objectives and impossible periods rejected appropriately</x:v>
      </x:c>
      <x:c r="E53" s="18" t="str">
        <x:v>R16</x:v>
      </x:c>
      <x:c r="F53" s="18" t="str">
        <x:v>QA + discipline owner</x:v>
      </x:c>
      <x:c r="G53" s="22" t="str">
        <x:v>Not executed</x:v>
      </x:c>
      <x:c r="H53" s="22" t="str"/>
      <x:c r="I53" s="22" t="str"/>
      <x:c r="J53" s="22" t="str"/>
    </x:row>
    <x:row r="54" ht="84" customHeight="1">
      <x:c r="A54" s="18" t="str">
        <x:v>NR-050</x:v>
      </x:c>
      <x:c r="B54" s="18" t="str">
        <x:v>Config</x:v>
      </x:c>
      <x:c r="C54" s="18" t="str">
        <x:v>Attempted integrity bypass</x:v>
      </x:c>
      <x:c r="D54" s="18" t="str">
        <x:v>Superadmin cannot enable source-invalid physical confirmation or rename gain semantics</x:v>
      </x:c>
      <x:c r="E54" s="18" t="str">
        <x:v>R02 R16</x:v>
      </x:c>
      <x:c r="F54" s="18" t="str">
        <x:v>QA + discipline owner</x:v>
      </x:c>
      <x:c r="G54" s="22" t="str">
        <x:v>Not executed</x:v>
      </x:c>
      <x:c r="H54" s="22" t="str"/>
      <x:c r="I54" s="22" t="str"/>
      <x:c r="J54" s="22" t="str"/>
    </x:row>
    <x:row r="55" ht="84" customHeight="1">
      <x:c r="A55" s="18" t="str">
        <x:v>NR-051</x:v>
      </x:c>
      <x:c r="B55" s="18" t="str">
        <x:v>Config</x:v>
      </x:c>
      <x:c r="C55" s="18" t="str">
        <x:v>Mixed worker versions/partial ACK</x:v>
      </x:c>
      <x:c r="D55" s="18" t="str">
        <x:v>Not ACTIVE_VERIFIED; mixed composite result quarantined</x:v>
      </x:c>
      <x:c r="E55" s="18" t="str">
        <x:v>R17 R26</x:v>
      </x:c>
      <x:c r="F55" s="18" t="str">
        <x:v>QA + discipline owner</x:v>
      </x:c>
      <x:c r="G55" s="22" t="str">
        <x:v>Not executed</x:v>
      </x:c>
      <x:c r="H55" s="22" t="str"/>
      <x:c r="I55" s="22" t="str"/>
      <x:c r="J55" s="22" t="str"/>
    </x:row>
    <x:row r="56" ht="84" customHeight="1">
      <x:c r="A56" s="18" t="str">
        <x:v>NR-052</x:v>
      </x:c>
      <x:c r="B56" s="18" t="str">
        <x:v>Config</x:v>
      </x:c>
      <x:c r="C56" s="18" t="str">
        <x:v>Restart, restore and rescale</x:v>
      </x:c>
      <x:c r="D56" s="18" t="str">
        <x:v>Same bundle per qualified event/support; no static cache leakage</x:v>
      </x:c>
      <x:c r="E56" s="18" t="str">
        <x:v>R17</x:v>
      </x:c>
      <x:c r="F56" s="18" t="str">
        <x:v>QA + discipline owner</x:v>
      </x:c>
      <x:c r="G56" s="22" t="str">
        <x:v>Not executed</x:v>
      </x:c>
      <x:c r="H56" s="22" t="str"/>
      <x:c r="I56" s="22" t="str"/>
      <x:c r="J56" s="22" t="str"/>
    </x:row>
    <x:row r="57" ht="84" customHeight="1">
      <x:c r="A57" s="18" t="str">
        <x:v>NR-053</x:v>
      </x:c>
      <x:c r="B57" s="18" t="str">
        <x:v>Config</x:v>
      </x:c>
      <x:c r="C57" s="18" t="str">
        <x:v>Stateful window/estimator change</x:v>
      </x:c>
      <x:c r="D57" s="18" t="str">
        <x:v>New epoch/warmup and capacity validation, no mixed-event state</x:v>
      </x:c>
      <x:c r="E57" s="18" t="str">
        <x:v>R18</x:v>
      </x:c>
      <x:c r="F57" s="18" t="str">
        <x:v>QA + discipline owner</x:v>
      </x:c>
      <x:c r="G57" s="22" t="str">
        <x:v>Not executed</x:v>
      </x:c>
      <x:c r="H57" s="22" t="str"/>
      <x:c r="I57" s="22" t="str"/>
      <x:c r="J57" s="22" t="str"/>
    </x:row>
    <x:row r="58" ht="84" customHeight="1">
      <x:c r="A58" s="18" t="str">
        <x:v>NR-054</x:v>
      </x:c>
      <x:c r="B58" s="18" t="str">
        <x:v>Config</x:v>
      </x:c>
      <x:c r="C58" s="18" t="str">
        <x:v>Rollback and policy improvement</x:v>
      </x:c>
      <x:c r="D58" s="18" t="str">
        <x:v>New activation retained; threshold-induced score change not physical restoration</x:v>
      </x:c>
      <x:c r="E58" s="18" t="str">
        <x:v>R16 R24</x:v>
      </x:c>
      <x:c r="F58" s="18" t="str">
        <x:v>QA + discipline owner</x:v>
      </x:c>
      <x:c r="G58" s="22" t="str">
        <x:v>Not executed</x:v>
      </x:c>
      <x:c r="H58" s="22" t="str"/>
      <x:c r="I58" s="22" t="str"/>
      <x:c r="J58" s="22" t="str"/>
    </x:row>
    <x:row r="59" ht="84" customHeight="1">
      <x:c r="A59" s="18" t="str">
        <x:v>NR-055</x:v>
      </x:c>
      <x:c r="B59" s="18" t="str">
        <x:v>Config</x:v>
      </x:c>
      <x:c r="C59" s="18" t="str">
        <x:v>Unsupported algorithm/new topology</x:v>
      </x:c>
      <x:c r="D59" s="18" t="str">
        <x:v>Deployment-required rejection; no pretend no-code installation</x:v>
      </x:c>
      <x:c r="E59" s="18" t="str">
        <x:v>R18</x:v>
      </x:c>
      <x:c r="F59" s="18" t="str">
        <x:v>QA + discipline owner</x:v>
      </x:c>
      <x:c r="G59" s="22" t="str">
        <x:v>Not executed</x:v>
      </x:c>
      <x:c r="H59" s="22" t="str"/>
      <x:c r="I59" s="22" t="str"/>
      <x:c r="J59" s="22" t="str"/>
    </x:row>
    <x:row r="60" ht="84" customHeight="1">
      <x:c r="A60" s="18" t="str">
        <x:v>NR-056</x:v>
      </x:c>
      <x:c r="B60" s="18" t="str">
        <x:v>Reliability</x:v>
      </x:c>
      <x:c r="C60" s="18" t="str">
        <x:v>Bounded replay after Kafka expiry</x:v>
      </x:c>
      <x:c r="D60" s="18" t="str">
        <x:v>Read qualified retained history and matching context or explicit unavailable</x:v>
      </x:c>
      <x:c r="E60" s="18" t="str">
        <x:v>R19</x:v>
      </x:c>
      <x:c r="F60" s="18" t="str">
        <x:v>QA + discipline owner</x:v>
      </x:c>
      <x:c r="G60" s="22" t="str">
        <x:v>Not executed</x:v>
      </x:c>
      <x:c r="H60" s="22" t="str"/>
      <x:c r="I60" s="22" t="str"/>
      <x:c r="J60" s="22" t="str"/>
    </x:row>
    <x:row r="61" ht="84" customHeight="1">
      <x:c r="A61" s="18" t="str">
        <x:v>NR-057</x:v>
      </x:c>
      <x:c r="B61" s="18" t="str">
        <x:v>Reliability</x:v>
      </x:c>
      <x:c r="C61" s="18" t="str">
        <x:v>Live/replay/shadow parallel</x:v>
      </x:c>
      <x:c r="D61" s="18" t="str">
        <x:v>No writes into each other’s namespace or live episodes/notifications</x:v>
      </x:c>
      <x:c r="E61" s="18" t="str">
        <x:v>R19</x:v>
      </x:c>
      <x:c r="F61" s="18" t="str">
        <x:v>QA + discipline owner</x:v>
      </x:c>
      <x:c r="G61" s="22" t="str">
        <x:v>Not executed</x:v>
      </x:c>
      <x:c r="H61" s="22" t="str"/>
      <x:c r="I61" s="22" t="str"/>
      <x:c r="J61" s="22" t="str"/>
    </x:row>
    <x:row r="62" ht="84" customHeight="1">
      <x:c r="A62" s="18" t="str">
        <x:v>NR-058</x:v>
      </x:c>
      <x:c r="B62" s="18" t="str">
        <x:v>Reliability</x:v>
      </x:c>
      <x:c r="C62" s="18" t="str">
        <x:v>Crash/retry before downstream projection</x:v>
      </x:c>
      <x:c r="D62" s="18" t="str">
        <x:v>No lost results/duplicate episodes; backlog and reconciliation visible</x:v>
      </x:c>
      <x:c r="E62" s="18" t="str">
        <x:v>R22</x:v>
      </x:c>
      <x:c r="F62" s="18" t="str">
        <x:v>QA + discipline owner</x:v>
      </x:c>
      <x:c r="G62" s="22" t="str">
        <x:v>Not executed</x:v>
      </x:c>
      <x:c r="H62" s="22" t="str"/>
      <x:c r="I62" s="22" t="str"/>
      <x:c r="J62" s="22" t="str"/>
    </x:row>
    <x:row r="63" ht="84" customHeight="1">
      <x:c r="A63" s="18" t="str">
        <x:v>NR-059</x:v>
      </x:c>
      <x:c r="B63" s="18" t="str">
        <x:v>Reliability</x:v>
      </x:c>
      <x:c r="C63" s="18" t="str">
        <x:v>Clean database and frontend CI</x:v>
      </x:c>
      <x:c r="D63" s="18" t="str">
        <x:v>Old SQL markup/build-script issues checked and closed on actual commit</x:v>
      </x:c>
      <x:c r="E63" s="18" t="str">
        <x:v>R23</x:v>
      </x:c>
      <x:c r="F63" s="18" t="str">
        <x:v>QA + discipline owner</x:v>
      </x:c>
      <x:c r="G63" s="22" t="str">
        <x:v>Not executed</x:v>
      </x:c>
      <x:c r="H63" s="22" t="str"/>
      <x:c r="I63" s="22" t="str"/>
      <x:c r="J63" s="22" t="str"/>
    </x:row>
    <x:row r="64" ht="84" customHeight="1">
      <x:c r="A64" s="18" t="str">
        <x:v>NR-060</x:v>
      </x:c>
      <x:c r="B64" s="18" t="str">
        <x:v>Reliability</x:v>
      </x:c>
      <x:c r="C64" s="18" t="str">
        <x:v>Retention expiration with investigation evidence</x:v>
      </x:c>
      <x:c r="D64" s="18" t="str">
        <x:v>Pinned immutable evidence remains readable and verifiable</x:v>
      </x:c>
      <x:c r="E64" s="18" t="str">
        <x:v>R19 R24</x:v>
      </x:c>
      <x:c r="F64" s="18" t="str">
        <x:v>QA + discipline owner</x:v>
      </x:c>
      <x:c r="G64" s="22" t="str">
        <x:v>Not executed</x:v>
      </x:c>
      <x:c r="H64" s="22" t="str"/>
      <x:c r="I64" s="22" t="str"/>
      <x:c r="J64" s="22" t="str"/>
    </x:row>
    <x:row r="65" ht="84" customHeight="1">
      <x:c r="A65" s="18" t="str">
        <x:v>NR-061</x:v>
      </x:c>
      <x:c r="B65" s="18" t="str">
        <x:v>Performance</x:v>
      </x:c>
      <x:c r="C65" s="18" t="str">
        <x:v>Declared target load and latency</x:v>
      </x:c>
      <x:c r="D65" s="18" t="str">
        <x:v>Benchmark end-to-end sampling-aware p95/p99, state, checkpoint and queue cost</x:v>
      </x:c>
      <x:c r="E65" s="18" t="str">
        <x:v>R21</x:v>
      </x:c>
      <x:c r="F65" s="18" t="str">
        <x:v>QA + discipline owner</x:v>
      </x:c>
      <x:c r="G65" s="22" t="str">
        <x:v>Not executed</x:v>
      </x:c>
      <x:c r="H65" s="22" t="str"/>
      <x:c r="I65" s="22" t="str"/>
      <x:c r="J65" s="22" t="str"/>
    </x:row>
    <x:row r="66" ht="84" customHeight="1">
      <x:c r="A66" s="18" t="str">
        <x:v>NR-062</x:v>
      </x:c>
      <x:c r="B66" s="18" t="str">
        <x:v>Operating model</x:v>
      </x:c>
      <x:c r="C66" s="18" t="str">
        <x:v>Completed work but inconclusive response</x:v>
      </x:c>
      <x:c r="D66" s="18" t="str">
        <x:v>Not verified restoration; owner and required further evidence retained</x:v>
      </x:c>
      <x:c r="E66" s="18" t="str">
        <x:v>R24</x:v>
      </x:c>
      <x:c r="F66" s="18" t="str">
        <x:v>QA + discipline owner</x:v>
      </x:c>
      <x:c r="G66" s="22" t="str">
        <x:v>Not executed</x:v>
      </x:c>
      <x:c r="H66" s="22" t="str"/>
      <x:c r="I66" s="22" t="str"/>
      <x:c r="J66" s="22" t="str"/>
    </x:row>
  </x:sheetData>
  <x:mergeCells>
    <x:mergeCell ref="A1:J1"/>
    <x:mergeCell ref="A2:J2"/>
  </x:mergeCells>
  <x:dataValidations count="1">
    <x:dataValidation type="list" sqref="G5:G66">
      <x:formula1>"Not executed,Passed,Failed,Blocked,Not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08c80ae539d473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38" hidden="0" customWidth="1"/>
    <x:col min="4" max="4" width="40" hidden="0" customWidth="1"/>
    <x:col min="5" max="5" width="40" hidden="0" customWidth="1"/>
    <x:col min="6" max="6" width="36" hidden="0" customWidth="1"/>
    <x:col min="7" max="7" width="40" hidden="0" customWidth="1"/>
    <x:col min="8" max="8" width="40" hidden="0" customWidth="1"/>
  </x:cols>
  <x:sheetData>
    <x:row r="1" ht="32" customHeight="1">
      <x:c r="A1" s="3" t="str">
        <x:v>EVIDENCE VIEWS FOR ALL 17 GATES</x:v>
      </x:c>
      <x:c r="B1" s="3"/>
      <x:c r="C1" s="3"/>
      <x:c r="D1" s="3"/>
      <x:c r="E1" s="3"/>
      <x:c r="F1" s="3"/>
      <x:c r="G1" s="3"/>
      <x:c r="H1" s="3"/>
    </x:row>
    <x:row r="2" ht="36" customHeight="1">
      <x:c r="A2" s="7" t="str">
        <x:v>Existing general trends remain. Required method artifacts must come from the exact Flink evaluation, not browser recomputation.</x:v>
      </x:c>
      <x:c r="B2" s="7"/>
      <x:c r="C2" s="7"/>
      <x:c r="D2" s="7"/>
      <x:c r="E2" s="7"/>
      <x:c r="F2" s="7"/>
      <x:c r="G2" s="7"/>
      <x:c r="H2" s="7"/>
    </x:row>
    <x:row r="4" ht="30" customHeight="1">
      <x:c r="A4" s="12" t="str">
        <x:v>Gate</x:v>
      </x:c>
      <x:c r="B4" s="12" t="str">
        <x:v>Name</x:v>
      </x:c>
      <x:c r="C4" s="12" t="str">
        <x:v>Current basis</x:v>
      </x:c>
      <x:c r="D4" s="12" t="str">
        <x:v>Required views</x:v>
      </x:c>
      <x:c r="E4" s="12" t="str">
        <x:v>Artifact fields</x:v>
      </x:c>
      <x:c r="F4" s="12" t="str">
        <x:v>Axes and units</x:v>
      </x:c>
      <x:c r="G4" s="12" t="str">
        <x:v>Interaction</x:v>
      </x:c>
      <x:c r="H4" s="12" t="str">
        <x:v>Eligibility / failure</x:v>
      </x:c>
    </x:row>
    <x:row r="5" ht="170" customHeight="1">
      <x:c r="A5" s="18" t="str">
        <x:v>G0</x:v>
      </x:c>
      <x:c r="B5" s="18" t="str">
        <x:v>Data qualification</x:v>
      </x:c>
      <x:c r="C5" s="18" t="str">
        <x:v>A B6 general raw/history; S06 latest status</x:v>
      </x:c>
      <x:c r="D5" s="18" t="str">
        <x:v>Per-role sample/quality/freshness ribbons; sample gap/age trend; interval histogram; accepted/rejected masks</x:v>
      </x:c>
      <x:c r="E5" s="18" t="str">
        <x:v>sample_time, verified_time, arrival_time, value, quality_native, quality_normalized, hold_kind, age_s, delta_t_s, accepted_mask, exclusion_reason</x:v>
      </x:c>
      <x:c r="F5" s="18" t="str">
        <x:v>UTC/site-time x; source age and gap seconds on separate axis; discrete qualities not interpolated</x:v>
      </x:c>
      <x:c r="G5" s="18" t="str">
        <x:v>Brush interval highlights the precise accepted/rejected original points and the source contract</x:v>
      </x:c>
      <x:c r="H5" s="18" t="str">
        <x:v>No filled line across unsupported gaps; unknown is not good; heartbeat time cannot masquerade as sample time</x:v>
      </x:c>
    </x:row>
    <x:row r="6" ht="170" customHeight="1">
      <x:c r="A6" s="18" t="str">
        <x:v>G1</x:v>
      </x:c>
      <x:c r="B6" s="18" t="str">
        <x:v>Mode and controlling authority</x:v>
      </x:c>
      <x:c r="C6" s="18" t="str">
        <x:v>Mode lane exists; S08</x:v>
      </x:c>
      <x:c r="D6" s="18" t="str">
        <x:v>Mode, tracking, selector and authority state lanes with applied/requested OP</x:v>
      </x:c>
      <x:c r="E6" s="18" t="str">
        <x:v>mode_native, mode_normalized, controlling_authority, selector_id, selected, tracking, op_requested, u_applied, state_intervals</x:v>
      </x:c>
      <x:c r="F6" s="18" t="str">
        <x:v>Time x; separate percentage-point OP lane; categorical state intervals</x:v>
      </x:c>
      <x:c r="G6" s="18" t="str">
        <x:v>Click transfer inspects vendor mapping and command-path revision</x:v>
      </x:c>
      <x:c r="H6" s="18" t="str">
        <x:v>Unknown mapping remains unknown; manual invalidates closed-loop metrics only, not all actuator observations</x:v>
      </x:c>
    </x:row>
    <x:row r="7" ht="170" customHeight="1">
      <x:c r="A7" s="18" t="str">
        <x:v>G2</x:v>
      </x:c>
      <x:c r="B7" s="18" t="str">
        <x:v>SP event/stability</x:v>
      </x:c>
      <x:c r="C7" s="18" t="str">
        <x:v>SP trend and scalar range exist</x:v>
      </x:c>
      <x:c r="D7" s="18" t="str">
        <x:v>SP/PV trend; SP rate and event markers; classified step/ramp support</x:v>
      </x:c>
      <x:c r="E7" s="18" t="str">
        <x:v>sp, pv, d_sp_dt, event_id, trigger_threshold, stable_pre_mask, event_type</x:v>
      </x:c>
      <x:c r="F7" s="18" t="str">
        <x:v>SP/PV in one shared EU pane; SP-rate EU/s pane</x:v>
      </x:c>
      <x:c r="G7" s="18" t="str">
        <x:v>Select event opens G12 with same support, not latest loop record</x:v>
      </x:c>
      <x:c r="H7" s="18" t="str">
        <x:v>Noise threshold/source resolution visible; no step metrics on a ramp</x:v>
      </x:c>
    </x:row>
    <x:row r="8" ht="170" customHeight="1">
      <x:c r="A8" s="18" t="str">
        <x:v>G2r</x:v>
      </x:c>
      <x:c r="B8" s="18" t="str">
        <x:v>Operating region and objective domain</x:v>
      </x:c>
      <x:c r="C8" s="18" t="str">
        <x:v>Scalar region eligibility</x:v>
      </x:c>
      <x:c r="D8" s="18" t="str">
        <x:v>PV versus applied input scatter/trajectory with region bounds; time in/out lane</x:v>
      </x:c>
      <x:c r="E8" s="18" t="str">
        <x:v>pv, u_applied, region_vertices_or_bounds, domain_mask, operating_regime_id</x:v>
      </x:c>
      <x:c r="F8" s="18" t="str">
        <x:v>PV EU versus input EU/pp; elapsed-time markers; domain not one mixed-unit axis</x:v>
      </x:c>
      <x:c r="G8" s="18" t="str">
        <x:v>Select out-of-domain interval; display why chosen model is unavailable</x:v>
      </x:c>
      <x:c r="H8" s="18" t="str">
        <x:v>Out-of-model-domain is not a healthy process; still show actual excursions</x:v>
      </x:c>
    </x:row>
    <x:row r="9" ht="170" customHeight="1">
      <x:c r="A9" s="18" t="str">
        <x:v>G3</x:v>
      </x:c>
      <x:c r="B9" s="18" t="str">
        <x:v>Objective performance and error</x:v>
      </x:c>
      <x:c r="C9" s="18" t="str">
        <x:v>PV/SP and KPI overlays exist</x:v>
      </x:c>
      <x:c r="D9" s="18" t="str">
        <x:v>Error with approved band; cumulative IAE/ISE/ITAE; objective compliance/support; matched-baseline comparison</x:v>
      </x:c>
      <x:c r="E9" s="18" t="str">
        <x:v>error, tolerance_band, cumulative_iae, cumulative_ise, cumulative_itae, eligible_duration, objective_id, benchmark_interval</x:v>
      </x:c>
      <x:c r="F9" s="18" t="str">
        <x:v>Error EU; integrals EU·s/EU²·s/EU·s² separate selectable panes</x:v>
      </x:c>
      <x:c r="G9" s="18" t="str">
        <x:v>Hover exact integration interval and excluded portions; switch benchmark without recomputing in browser</x:v>
      </x:c>
      <x:c r="H9" s="18" t="str">
        <x:v>Do not plot unavailable as zero; no objective means performance metrics without health pass</x:v>
      </x:c>
    </x:row>
    <x:row r="10" ht="170" customHeight="1">
      <x:c r="A10" s="18" t="str">
        <x:v>G4</x:v>
      </x:c>
      <x:c r="B10" s="18" t="str">
        <x:v>Control activity</x:v>
      </x:c>
      <x:c r="C10" s="18" t="str">
        <x:v>Travel/effort scalar catalogue; general OP trend</x:v>
      </x:c>
      <x:c r="D10" s="18" t="str">
        <x:v>Applied OP/PV contextual trend; noise-qualified reversals; cumulative command and measured-travel variation; normalized variability comparison</x:v>
      </x:c>
      <x:c r="E10" s="18" t="str">
        <x:v>u_applied, vp, delta_u, reversal_markers, command_total_variation, measured_travel_variation, sigma_u_norm, sigma_pv_norm, baseline_activity</x:v>
      </x:c>
      <x:c r="F10" s="18" t="str">
        <x:v>Separate OP/VP pp and PV EU panes; activity dimensionless only where metadata valid</x:v>
      </x:c>
      <x:c r="G10" s="18" t="str">
        <x:v>Select reversal and review applied path/position response in G10</x:v>
      </x:c>
      <x:c r="H10" s="18" t="str">
        <x:v>OP travel is not valve travel; high activity cannot directly confirm friction</x:v>
      </x:c>
    </x:row>
    <x:row r="11" ht="170" customHeight="1">
      <x:c r="A11" s="18" t="str">
        <x:v>G5</x:v>
      </x:c>
      <x:c r="B11" s="18" t="str">
        <x:v>Time-domain oscillation</x:v>
      </x:c>
      <x:c r="C11" s="18" t="str">
        <x:v>ACF period/regularity scalars; generic replay</x:v>
      </x:c>
      <x:c r="D11" s="18" t="str">
        <x:v>Actual detrended signal; ACF versus lag; zero-crossing/cycle markers; accepted period distribution</x:v>
      </x:c>
      <x:c r="E11" s="18" t="str">
        <x:v>preprocessed_signal, acf_lag_s, acf_value, acf_pair_count, crossing_times, accepted_cycles, regularity_method</x:v>
      </x:c>
      <x:c r="F11" s="18" t="str">
        <x:v>Signal unit/normalized basis stated; lag in seconds; ACF unitless</x:v>
      </x:c>
      <x:c r="G11" s="18" t="str">
        <x:v>Click ACF peak highlights its candidate cycles on raw time trend</x:v>
      </x:c>
      <x:c r="H11" s="18" t="str">
        <x:v>Estimator/lag support disclosed; reject too few cycles or inadequate sampling rather than inventing regularity</x:v>
      </x:c>
    </x:row>
    <x:row r="12" ht="170" customHeight="1">
      <x:c r="A12" s="18" t="str">
        <x:v>G6</x:v>
      </x:c>
      <x:c r="B12" s="18" t="str">
        <x:v>Spectral evidence</x:v>
      </x:c>
      <x:c r="C12" s="18" t="str">
        <x:v>FFT score/scalars; no full PSD contract</x:v>
      </x:c>
      <x:c r="D12" s="18" t="str">
        <x:v>PSD or amplitude spectrum matching actual method; search band/fundamental/harmonics; optional installed time-frequency method</x:v>
      </x:c>
      <x:c r="E12" s="18" t="str">
        <x:v>frequency_hz, psd_or_amplitude, ordinate_kind, spectral_window, detrend, fft_size, resolution_hz, noise_reference, peak_indices, harmonic_indices</x:v>
      </x:c>
      <x:c r="F12" s="18" t="str">
        <x:v>Frequency Hz or period s, ordered correctly; PSD units signal²/Hz, amplitude signal EU</x:v>
      </x:c>
      <x:c r="G12" s="18" t="str">
        <x:v>Select peak links period/cycles and G5/G7; show acquisition bandwidth</x:v>
      </x:c>
      <x:c r="H12" s="18" t="str">
        <x:v>Do not relabel amplitude as PSD; no spectral estimate from browser-decimated trend</x:v>
      </x:c>
    </x:row>
    <x:row r="13" ht="170" customHeight="1">
      <x:c r="A13" s="18" t="str">
        <x:v>G7</x:v>
      </x:c>
      <x:c r="B13" s="18" t="str">
        <x:v>Waveform fits</x:v>
      </x:c>
      <x:c r="C13" s="18" t="str">
        <x:v>Generic phase-plane replay for shape gates</x:v>
      </x:c>
      <x:c r="D13" s="18" t="str">
        <x:v>Accepted cycle overlays in phase coordinates; actual sine/triangle predictions; per-cycle SSE and rejection reasons</x:v>
      </x:c>
      <x:c r="E13" s="18" t="str">
        <x:v>cycle_id, original_indices, phase, measured_cycle, sine_fit, triangle_fit, amplitudes, phases, sse_sine, sse_triangle, cycle_score</x:v>
      </x:c>
      <x:c r="F13" s="18" t="str">
        <x:v>Phase 0–1 plus source time; normalized and raw amplitude clearly selectable</x:v>
      </x:c>
      <x:c r="G13" s="18" t="str">
        <x:v>Pick one accepted/rejected cycle and show original signal and fitted parameters</x:v>
      </x:c>
      <x:c r="H13" s="18" t="str">
        <x:v>Not generic PV–OP scatter; no displayed classifier result when selected method is not reproduced/eligible</x:v>
      </x:c>
    </x:row>
    <x:row r="14" ht="170" customHeight="1">
      <x:c r="A14" s="18" t="str">
        <x:v>G8</x:v>
      </x:c>
      <x:c r="B14" s="18" t="str">
        <x:v>Lag structure / qualified nonlinear tests</x:v>
      </x:c>
      <x:c r="C14" s="18" t="str">
        <x:v>Oddness scalar and generic shape replay</x:v>
      </x:c>
      <x:c r="D14" s="18" t="str">
        <x:v>Signed positive/negative lag correlations; symmetry/asymmetry contributions; separate bicoherence map only for installed validated method</x:v>
      </x:c>
      <x:c r="E14" s="18" t="str">
        <x:v>lag_s, phi_positive, phi_negative, odd_contribution, even_contribution, method_id; optional f1_hz,f2_hz,bicoherence</x:v>
      </x:c>
      <x:c r="F14" s="18" t="str">
        <x:v>Lag seconds and unitless correlation; bicoherence frequency axes separate</x:v>
      </x:c>
      <x:c r="G14" s="18" t="str">
        <x:v>Click feature links same time support; show normal linear-delay counterexample annotation</x:v>
      </x:c>
      <x:c r="H14" s="18" t="str">
        <x:v>Do not call lag asymmetry odd-harmonic spectrum or display a bicoherence picture for an uncomputed method</x:v>
      </x:c>
    </x:row>
    <x:row r="15" ht="170" customHeight="1">
      <x:c r="A15" s="18" t="str">
        <x:v>G9</x:v>
      </x:c>
      <x:c r="B15" s="18" t="str">
        <x:v>Cycle geometry</x:v>
      </x:c>
      <x:c r="C15" s="18" t="str">
        <x:v>PV–OP scatter replay exists</x:v>
      </x:c>
      <x:c r="D15" s="18" t="str">
        <x:v>Ordered per-cycle phase trajectory; direction arrows/start-end; bounding box, corners, area, gate ladder and rejected cycles</x:v>
      </x:c>
      <x:c r="E15" s="18" t="str">
        <x:v>cycle_id, pair_indices, pv, u_applied, normalized_pairs, polygon_vertices, corners, area, bbox_area, qualification_steps</x:v>
      </x:c>
      <x:c r="F15" s="18" t="str">
        <x:v>PV EU versus input pp; normalized alternative labelled; time/order preserved</x:v>
      </x:c>
      <x:c r="G15" s="18" t="str">
        <x:v>Click cycle/vertex synchronizes raw samples; pin current effective role/threshold</x:v>
      </x:c>
      <x:c r="H15" s="18" t="str">
        <x:v>Plot points actually scored, not arbitrary resampled scatter; geometry remains supporting under correct policy</x:v>
      </x:c>
    </x:row>
    <x:row r="16" ht="170" customHeight="1">
      <x:c r="A16" s="18" t="str">
        <x:v>G10</x:v>
      </x:c>
      <x:c r="B16" s="18" t="str">
        <x:v>Actuator, limits and constraints</x:v>
      </x:c>
      <x:c r="C16" s="18" t="str">
        <x:v>OP trend; saturation metrics</x:v>
      </x:c>
      <x:c r="D16" s="18" t="str">
        <x:v>Requested/applied demand and measured travel; active-limit bands; tracking error; dwell episodes; demand–travel trajectory; pneumatic context</x:v>
      </x:c>
      <x:c r="E16" s="18" t="str">
        <x:v>u_requested,u_applied,vp,tracking_error,active_low,active_high,limit_reason,dwell_events,supply_pressure,actuator_pressure,validity</x:v>
      </x:c>
      <x:c r="F16" s="18" t="str">
        <x:v>pp command/travel, pressure units separately; event duration seconds</x:v>
      </x:c>
      <x:c r="G16" s="18" t="str">
        <x:v>Select non-following event opens transmitter/positioner evidence and actual command transform</x:v>
      </x:c>
      <x:c r="H16" s="18" t="str">
        <x:v>VP presence is not confirmation; unknown limits labelled; windup unavailable without sufficient controller/reset evidence</x:v>
      </x:c>
    </x:row>
    <x:row r="17" ht="170" customHeight="1">
      <x:c r="A17" s="18" t="str">
        <x:v>G11</x:v>
      </x:c>
      <x:c r="B17" s="18" t="str">
        <x:v>Measurement and Instrumental context</x:v>
      </x:c>
      <x:c r="C17" s="18" t="str">
        <x:v>Freeze/drift/spike scalars; no contracted NAMUR lane</x:v>
      </x:c>
      <x:c r="D17" s="18" t="str">
        <x:v>PV/raw deltas/noise; freeze/spike intervals; four NE107 status lanes; source availability, variable impact and measurement eligibility</x:v>
      </x:c>
      <x:c r="E17" s="18" t="str">
        <x:v>pv,delta_pv,noise_band,freeze_events,spikes,quantization; F,C,S,M,health_state_id,source_verified_time,measurement_impact,eligibility_intervals</x:v>
      </x:c>
      <x:c r="F17" s="18" t="str">
        <x:v>PV EU; delta EU; binary F/C/S/M intervals; source age s separate</x:v>
      </x:c>
      <x:c r="G17" s="18" t="str">
        <x:v>Click status opens native causes/remedies and Instrumental deep link; time selection resolves installed device as-of</x:v>
      </x:c>
      <x:c r="H17" s="18" t="str">
        <x:v>Health absence != OK; no automatic biased-sensor diagnosis from one PV; quality and device status remain separate</x:v>
      </x:c>
    </x:row>
    <x:row r="18" ht="170" customHeight="1">
      <x:c r="A18" s="18" t="str">
        <x:v>G12</x:v>
      </x:c>
      <x:c r="B18" s="18" t="str">
        <x:v>System response and dynamics</x:v>
      </x:c>
      <x:c r="C18" s="18" t="str">
        <x:v>Flag-only G12</x:v>
      </x:c>
      <x:c r="D18" s="18" t="str">
        <x:v>Event input/PV/SP/VP; fitted and holdout predicted response; threshold/timing markers; residuals/ACF; model/parameter history; Bode and margins where valid</x:v>
      </x:c>
      <x:c r="E18" s="18" t="str">
        <x:v>response_event, accepted_samples, y_fit,y_predict,prediction_interval,confidence_interval,baseline,target,response_times,residuals,candidate_models,parameters,controller_snapshot,bode</x:v>
      </x:c>
      <x:c r="F18" s="18" t="str">
        <x:v>Physical time and EU; separate command pp; frequency Hz or rad/s explicitly; gains with path-specific units</x:v>
      </x:c>
      <x:c r="G18" s="18" t="str">
        <x:v>Select event/model; compare before/after; inspect exact training/validation intervals and rejected candidates</x:v>
      </x:c>
      <x:c r="H18" s="18" t="str">
        <x:v>Never process gain from SP response alone; integrator static gain NULL; model confidence distinct from G15 score</x:v>
      </x:c>
    </x:row>
    <x:row r="19" ht="170" customHeight="1">
      <x:c r="A19" s="18" t="str">
        <x:v>G13</x:v>
      </x:c>
      <x:c r="B19" s="18" t="str">
        <x:v>Interaction and disturbances</x:v>
      </x:c>
      <x:c r="C19" s="18" t="str">
        <x:v>Topology links/heuristic; no complete peer analysis</x:v>
      </x:c>
      <x:c r="D19" s="18" t="str">
        <x:v>Aligned peer/utility trends; candidate relationship graph; pairwise lag correlation/coherence; event propagation timeline</x:v>
      </x:c>
      <x:c r="E19" s="18" t="str">
        <x:v>peer_ids,relationship_revision,aligned_series,cross_correlation,coherence,frequency_hz,lag_s,support_mask,alternative_explanations</x:v>
      </x:c>
      <x:c r="F19" s="18" t="str">
        <x:v>Time shared across peer panes; each signal keeps units or labelled normalization</x:v>
      </x:c>
      <x:c r="G19" s="18" t="str">
        <x:v>Select candidate pair and see signal evidence for claimed direction; graph relation not proof</x:v>
      </x:c>
      <x:c r="H19" s="18" t="str">
        <x:v>Unmapped peers do not rule out disturbance; no causal certainty from pairwise correlation alone</x:v>
      </x:c>
    </x:row>
    <x:row r="20" ht="170" customHeight="1">
      <x:c r="A20" s="18" t="str">
        <x:v>G14</x:v>
      </x:c>
      <x:c r="B20" s="18" t="str">
        <x:v>Fault-scoped confirmation</x:v>
      </x:c>
      <x:c r="C20" s="18" t="str">
        <x:v>VP presence and cap</x:v>
      </x:c>
      <x:c r="D20" s="18" t="str">
        <x:v>Applied demand/VP and source diagnostics over qualifying interval; verification/test records; support-versus-contradiction timeline</x:v>
      </x:c>
      <x:c r="E20" s="18" t="str">
        <x:v>claim_type,positive_evidence_ids,contradictions,source_validity,test_id,review_record,scope,confirmed_at</x:v>
      </x:c>
      <x:c r="F20" s="18" t="str">
        <x:v>Time support plus evidence table; no fake numeric certainty curve</x:v>
      </x:c>
      <x:c r="G20" s="18" t="str">
        <x:v>Open exactly the record establishing non-following, supply fault or other scoped conclusion</x:v>
      </x:c>
      <x:c r="H20" s="18" t="str">
        <x:v>Healthy tracking contradicts non-following; confirmed subtype cannot exceed evidence scope</x:v>
      </x:c>
    </x:row>
    <x:row r="21" ht="170" customHeight="1">
      <x:c r="A21" s="18" t="str">
        <x:v>G15</x:v>
      </x:c>
      <x:c r="B21" s="18" t="str">
        <x:v>Final decision and lifecycle</x:v>
      </x:c>
      <x:c r="C21" s="18" t="str">
        <x:v>Score/verdict trends and episodes</x:v>
      </x:c>
      <x:c r="D21" s="18" t="str">
        <x:v>Separate symptoms/hypotheses/severity; evidence-group contribution and contradictions; condition/availability/case timelines; revision history</x:v>
      </x:c>
      <x:c r="E21" s="18" t="str">
        <x:v>observations,hypotheses,evidence_groups,score_semantics,explanations,qualified_support,condition_state,availability,case_state,result_revision</x:v>
      </x:c>
      <x:c r="F21" s="18" t="str">
        <x:v>Time timeline; scores labelled evidence scores unless calibrated; categorical states distinct</x:v>
      </x:c>
      <x:c r="G21" s="18" t="str">
        <x:v>Trace any decision to exact run/gates and authorizations; compare superseded/new result</x:v>
      </x:c>
      <x:c r="H21" s="18" t="str">
        <x:v>No fabricated additive waterfall if fusion uses argmax; missing evidence does not close condition; disabled gate reduces assessability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f7027b78ec13450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28" hidden="0" customWidth="1"/>
    <x:col min="4" max="4" width="40" hidden="0" customWidth="1"/>
    <x:col min="5" max="5" width="38" hidden="0" customWidth="1"/>
    <x:col min="6" max="6" width="40" hidden="0" customWidth="1"/>
  </x:cols>
  <x:sheetData>
    <x:row r="1" ht="32" customHeight="1">
      <x:c r="A1" s="3" t="str">
        <x:v>G12 RESPONSE AND MODEL QUANTITIES</x:v>
      </x:c>
      <x:c r="B1" s="3"/>
      <x:c r="C1" s="3"/>
      <x:c r="D1" s="3"/>
      <x:c r="E1" s="3"/>
      <x:c r="F1" s="3"/>
    </x:row>
    <x:row r="2" ht="36" customHeight="1">
      <x:c r="A2" s="7" t="str">
        <x:v>All 52 quantities are typed by meaning, units, path and applicability. Unsupported quantities return null plus a reason.</x:v>
      </x:c>
      <x:c r="B2" s="7"/>
      <x:c r="C2" s="7"/>
      <x:c r="D2" s="7"/>
      <x:c r="E2" s="7"/>
      <x:c r="F2" s="7"/>
    </x:row>
    <x:row r="4" ht="30" customHeight="1">
      <x:c r="A4" s="12" t="str">
        <x:v>Quantity</x:v>
      </x:c>
      <x:c r="B4" s="12" t="str">
        <x:v>Group</x:v>
      </x:c>
      <x:c r="C4" s="12" t="str">
        <x:v>Unit</x:v>
      </x:c>
      <x:c r="D4" s="12" t="str">
        <x:v>Definition</x:v>
      </x:c>
      <x:c r="E4" s="12" t="str">
        <x:v>Applicability</x:v>
      </x:c>
      <x:c r="F4" s="12" t="str">
        <x:v>Unavailable reason</x:v>
      </x:c>
    </x:row>
    <x:row r="5" ht="64" customHeight="1">
      <x:c r="A5" s="18" t="str">
        <x:v>input_step</x:v>
      </x:c>
      <x:c r="B5" s="18" t="str">
        <x:v>event</x:v>
      </x:c>
      <x:c r="C5" s="18" t="str">
        <x:v>input_EU</x:v>
      </x:c>
      <x:c r="D5" s="18" t="str">
        <x:v>Robust post-minus-pre applied input</x:v>
      </x:c>
      <x:c r="E5" s="18" t="str">
        <x:v>Qualified step path</x:v>
      </x:c>
      <x:c r="F5" s="18" t="str">
        <x:v>NO_STEP_OR_UNKNOWN_INPUT</x:v>
      </x:c>
    </x:row>
    <x:row r="6" ht="64" customHeight="1">
      <x:c r="A6" s="18" t="str">
        <x:v>sp_step</x:v>
      </x:c>
      <x:c r="B6" s="18" t="str">
        <x:v>event</x:v>
      </x:c>
      <x:c r="C6" s="18" t="str">
        <x:v>PV_EU</x:v>
      </x:c>
      <x:c r="D6" s="18" t="str">
        <x:v>Effective reference post-minus-pre</x:v>
      </x:c>
      <x:c r="E6" s="18" t="str">
        <x:v>Qualified reference step</x:v>
      </x:c>
      <x:c r="F6" s="18" t="str">
        <x:v>NOT_REFERENCE_STEP</x:v>
      </x:c>
    </x:row>
    <x:row r="7" ht="64" customHeight="1">
      <x:c r="A7" s="18" t="str">
        <x:v>baseline_pv</x:v>
      </x:c>
      <x:c r="B7" s="18" t="str">
        <x:v>event</x:v>
      </x:c>
      <x:c r="C7" s="18" t="str">
        <x:v>PV_EU</x:v>
      </x:c>
      <x:c r="D7" s="18" t="str">
        <x:v>Qualified robust pre-event endpoint</x:v>
      </x:c>
      <x:c r="E7" s="18" t="str">
        <x:v>Descriptive event</x:v>
      </x:c>
      <x:c r="F7" s="18" t="str">
        <x:v>NO_VALID_BASELINE</x:v>
      </x:c>
    </x:row>
    <x:row r="8" ht="64" customHeight="1">
      <x:c r="A8" s="18" t="str">
        <x:v>endpoint_pv</x:v>
      </x:c>
      <x:c r="B8" s="18" t="str">
        <x:v>event</x:v>
      </x:c>
      <x:c r="C8" s="18" t="str">
        <x:v>PV_EU</x:v>
      </x:c>
      <x:c r="D8" s="18" t="str">
        <x:v>Qualified stable post-support endpoint, not last value</x:v>
      </x:c>
      <x:c r="E8" s="18" t="str">
        <x:v>Settled response</x:v>
      </x:c>
      <x:c r="F8" s="18" t="str">
        <x:v>NO_STABLE_ENDPOINT</x:v>
      </x:c>
    </x:row>
    <x:row r="9" ht="64" customHeight="1">
      <x:c r="A9" s="18" t="str">
        <x:v>pre_slope</x:v>
      </x:c>
      <x:c r="B9" s="18" t="str">
        <x:v>event</x:v>
      </x:c>
      <x:c r="C9" s="18" t="str">
        <x:v>PV_EU/s</x:v>
      </x:c>
      <x:c r="D9" s="18" t="str">
        <x:v>Robust pre-event rate</x:v>
      </x:c>
      <x:c r="E9" s="18" t="str">
        <x:v>Valid pre-support</x:v>
      </x:c>
      <x:c r="F9" s="18" t="str">
        <x:v>INSUFFICIENT_SUPPORT</x:v>
      </x:c>
    </x:row>
    <x:row r="10" ht="64" customHeight="1">
      <x:c r="A10" s="18" t="str">
        <x:v>post_slope</x:v>
      </x:c>
      <x:c r="B10" s="18" t="str">
        <x:v>event</x:v>
      </x:c>
      <x:c r="C10" s="18" t="str">
        <x:v>PV_EU/s</x:v>
      </x:c>
      <x:c r="D10" s="18" t="str">
        <x:v>Robust post-event rate</x:v>
      </x:c>
      <x:c r="E10" s="18" t="str">
        <x:v>Integrating/ramp path</x:v>
      </x:c>
      <x:c r="F10" s="18" t="str">
        <x:v>NO_VALID_SLOPE</x:v>
      </x:c>
    </x:row>
    <x:row r="11" ht="64" customHeight="1">
      <x:c r="A11" s="18" t="str">
        <x:v>process_gain</x:v>
      </x:c>
      <x:c r="B11" s="18" t="str">
        <x:v>model</x:v>
      </x:c>
      <x:c r="C11" s="18" t="str">
        <x:v>PV_EU/input_EU</x:v>
      </x:c>
      <x:c r="D11" s="18" t="str">
        <x:v>Signed local path DC gain Kp</x:v>
      </x:c>
      <x:c r="E11" s="18" t="str">
        <x:v>Validated finite-gain path</x:v>
      </x:c>
      <x:c r="F11" s="18" t="str">
        <x:v>INTEGRATING_OR_NOT_IDENTIFIABLE</x:v>
      </x:c>
    </x:row>
    <x:row r="12" ht="64" customHeight="1">
      <x:c r="A12" s="18" t="str">
        <x:v>process_gain_normalized</x:v>
      </x:c>
      <x:c r="B12" s="18" t="str">
        <x:v>model</x:v>
      </x:c>
      <x:c r="C12" s="18" t="str">
        <x:v>dimensionless</x:v>
      </x:c>
      <x:c r="D12" s="18" t="str">
        <x:v>Kp times input span / PV span</x:v>
      </x:c>
      <x:c r="E12" s="18" t="str">
        <x:v>Valid Kp and both spans</x:v>
      </x:c>
      <x:c r="F12" s="18" t="str">
        <x:v>INVALID_SPAN_OR_GAIN</x:v>
      </x:c>
    </x:row>
    <x:row r="13" ht="64" customHeight="1">
      <x:c r="A13" s="18" t="str">
        <x:v>integrating_gain</x:v>
      </x:c>
      <x:c r="B13" s="18" t="str">
        <x:v>model</x:v>
      </x:c>
      <x:c r="C13" s="18" t="str">
        <x:v>PV_EU/(input_EU*s)</x:v>
      </x:c>
      <x:c r="D13" s="18" t="str">
        <x:v>Change in slope per input Ki_process</x:v>
      </x:c>
      <x:c r="E13" s="18" t="str">
        <x:v>Integrating path</x:v>
      </x:c>
      <x:c r="F13" s="18" t="str">
        <x:v>NOT_INTEGRATING_OR_NOT_IDENTIFIABLE</x:v>
      </x:c>
    </x:row>
    <x:row r="14" ht="64" customHeight="1">
      <x:c r="A14" s="18" t="str">
        <x:v>servo_gain</x:v>
      </x:c>
      <x:c r="B14" s="18" t="str">
        <x:v>response</x:v>
      </x:c>
      <x:c r="C14" s="18" t="str">
        <x:v>dimensionless</x:v>
      </x:c>
      <x:c r="D14" s="18" t="str">
        <x:v>PV change / SP change</x:v>
      </x:c>
      <x:c r="E14" s="18" t="str">
        <x:v>Qualified stable reference response</x:v>
      </x:c>
      <x:c r="F14" s="18" t="str">
        <x:v>NO_REFERENCE_STEP_OR_ENDPOINT</x:v>
      </x:c>
    </x:row>
    <x:row r="15" ht="64" customHeight="1">
      <x:c r="A15" s="18" t="str">
        <x:v>dead_time</x:v>
      </x:c>
      <x:c r="B15" s="18" t="str">
        <x:v>model</x:v>
      </x:c>
      <x:c r="C15" s="18" t="str">
        <x:v>s</x:v>
      </x:c>
      <x:c r="D15" s="18" t="str">
        <x:v>Identified path delay theta with timing uncertainty</x:v>
      </x:c>
      <x:c r="E15" s="18" t="str">
        <x:v>Identifiable path</x:v>
      </x:c>
      <x:c r="F15" s="18" t="str">
        <x:v>DELAY_UNRESOLVED</x:v>
      </x:c>
    </x:row>
    <x:row r="16" ht="64" customHeight="1">
      <x:c r="A16" s="18" t="str">
        <x:v>time_constant</x:v>
      </x:c>
      <x:c r="B16" s="18" t="str">
        <x:v>model</x:v>
      </x:c>
      <x:c r="C16" s="18" t="str">
        <x:v>s</x:v>
      </x:c>
      <x:c r="D16" s="18" t="str">
        <x:v>FOPDT tau</x:v>
      </x:c>
      <x:c r="E16" s="18" t="str">
        <x:v>FOPDT</x:v>
      </x:c>
      <x:c r="F16" s="18" t="str">
        <x:v>INAPPLICABLE_MODEL</x:v>
      </x:c>
    </x:row>
    <x:row r="17" ht="64" customHeight="1">
      <x:c r="A17" s="18" t="str">
        <x:v>time_constant_1</x:v>
      </x:c>
      <x:c r="B17" s="18" t="str">
        <x:v>model</x:v>
      </x:c>
      <x:c r="C17" s="18" t="str">
        <x:v>s</x:v>
      </x:c>
      <x:c r="D17" s="18" t="str">
        <x:v>SOPDT ordered slower pole time constant</x:v>
      </x:c>
      <x:c r="E17" s="18" t="str">
        <x:v>Real-pole SOPDT</x:v>
      </x:c>
      <x:c r="F17" s="18" t="str">
        <x:v>INAPPLICABLE_OR_UNIDENTIFIABLE</x:v>
      </x:c>
    </x:row>
    <x:row r="18" ht="64" customHeight="1">
      <x:c r="A18" s="18" t="str">
        <x:v>time_constant_2</x:v>
      </x:c>
      <x:c r="B18" s="18" t="str">
        <x:v>model</x:v>
      </x:c>
      <x:c r="C18" s="18" t="str">
        <x:v>s</x:v>
      </x:c>
      <x:c r="D18" s="18" t="str">
        <x:v>SOPDT ordered faster pole time constant</x:v>
      </x:c>
      <x:c r="E18" s="18" t="str">
        <x:v>Real-pole SOPDT</x:v>
      </x:c>
      <x:c r="F18" s="18" t="str">
        <x:v>INAPPLICABLE_OR_UNIDENTIFIABLE</x:v>
      </x:c>
    </x:row>
    <x:row r="19" ht="64" customHeight="1">
      <x:c r="A19" s="18" t="str">
        <x:v>damping_ratio</x:v>
      </x:c>
      <x:c r="B19" s="18" t="str">
        <x:v>model</x:v>
      </x:c>
      <x:c r="C19" s="18" t="str">
        <x:v>dimensionless</x:v>
      </x:c>
      <x:c r="D19" s="18" t="str">
        <x:v>Zeta from qualified second-order model</x:v>
      </x:c>
      <x:c r="E19" s="18" t="str">
        <x:v>Underdamped/second-order model</x:v>
      </x:c>
      <x:c r="F19" s="18" t="str">
        <x:v>NOT_IDENTIFIABLE_FROM_RESPONSE</x:v>
      </x:c>
    </x:row>
    <x:row r="20" ht="64" customHeight="1">
      <x:c r="A20" s="18" t="str">
        <x:v>natural_frequency</x:v>
      </x:c>
      <x:c r="B20" s="18" t="str">
        <x:v>model</x:v>
      </x:c>
      <x:c r="C20" s="18" t="str">
        <x:v>rad/s</x:v>
      </x:c>
      <x:c r="D20" s="18" t="str">
        <x:v>Omega_n from second-order model</x:v>
      </x:c>
      <x:c r="E20" s="18" t="str">
        <x:v>Second-order model</x:v>
      </x:c>
      <x:c r="F20" s="18" t="str">
        <x:v>INAPPLICABLE_MODEL</x:v>
      </x:c>
    </x:row>
    <x:row r="21" ht="64" customHeight="1">
      <x:c r="A21" s="18" t="str">
        <x:v>zero_time_constant</x:v>
      </x:c>
      <x:c r="B21" s="18" t="str">
        <x:v>model</x:v>
      </x:c>
      <x:c r="C21" s="18" t="str">
        <x:v>s</x:v>
      </x:c>
      <x:c r="D21" s="18" t="str">
        <x:v>Signed zero parameter of supported inverse/lead path</x:v>
      </x:c>
      <x:c r="E21" s="18" t="str">
        <x:v>Installed supported zero adapter</x:v>
      </x:c>
      <x:c r="F21" s="18" t="str">
        <x:v>UNSUPPORTED_MODEL_OR_UNIDENTIFIABLE</x:v>
      </x:c>
    </x:row>
    <x:row r="22" ht="64" customHeight="1">
      <x:c r="A22" s="18" t="str">
        <x:v>rise_time_10_90</x:v>
      </x:c>
      <x:c r="B22" s="18" t="str">
        <x:v>response</x:v>
      </x:c>
      <x:c r="C22" s="18" t="str">
        <x:v>s</x:v>
      </x:c>
      <x:c r="D22" s="18" t="str">
        <x:v>Sustained t90 minus t10</x:v>
      </x:c>
      <x:c r="E22" s="18" t="str">
        <x:v>Qualified nonzero endpoint response</x:v>
      </x:c>
      <x:c r="F22" s="18" t="str">
        <x:v>CENSORED_OR_NO_ENDPOINT</x:v>
      </x:c>
    </x:row>
    <x:row r="23" ht="64" customHeight="1">
      <x:c r="A23" s="18" t="str">
        <x:v>settle_response</x:v>
      </x:c>
      <x:c r="B23" s="18" t="str">
        <x:v>response</x:v>
      </x:c>
      <x:c r="C23" s="18" t="str">
        <x:v>s</x:v>
      </x:c>
      <x:c r="D23" s="18" t="str">
        <x:v>Observed entry to attained endpoint band with valid tail</x:v>
      </x:c>
      <x:c r="E23" s="18" t="str">
        <x:v>Qualified finite response</x:v>
      </x:c>
      <x:c r="F23" s="18" t="str">
        <x:v>RIGHT_CENSORED_OR_INTEGRATING_OPEN_LOOP</x:v>
      </x:c>
    </x:row>
    <x:row r="24" ht="64" customHeight="1">
      <x:c r="A24" s="18" t="str">
        <x:v>settle_target</x:v>
      </x:c>
      <x:c r="B24" s="18" t="str">
        <x:v>response</x:v>
      </x:c>
      <x:c r="C24" s="18" t="str">
        <x:v>s</x:v>
      </x:c>
      <x:c r="D24" s="18" t="str">
        <x:v>Observed entry to approved reference band</x:v>
      </x:c>
      <x:c r="E24" s="18" t="str">
        <x:v>Approved target and sufficient support</x:v>
      </x:c>
      <x:c r="F24" s="18" t="str">
        <x:v>TARGET_NOT_REACHED_OR_NO_OBJECTIVE</x:v>
      </x:c>
    </x:row>
    <x:row r="25" ht="64" customHeight="1">
      <x:c r="A25" s="18" t="str">
        <x:v>overshoot</x:v>
      </x:c>
      <x:c r="B25" s="18" t="str">
        <x:v>response</x:v>
      </x:c>
      <x:c r="C25" s="18" t="str">
        <x:v>% of response change</x:v>
      </x:c>
      <x:c r="D25" s="18" t="str">
        <x:v>100 max(0,max(progress)-1)</x:v>
      </x:c>
      <x:c r="E25" s="18" t="str">
        <x:v>Nonzero qualified endpoint response</x:v>
      </x:c>
      <x:c r="F25" s="18" t="str">
        <x:v>NO_MEANINGFUL_RESPONSE</x:v>
      </x:c>
    </x:row>
    <x:row r="26" ht="64" customHeight="1">
      <x:c r="A26" s="18" t="str">
        <x:v>undershoot</x:v>
      </x:c>
      <x:c r="B26" s="18" t="str">
        <x:v>response</x:v>
      </x:c>
      <x:c r="C26" s="18" t="str">
        <x:v>% of response change</x:v>
      </x:c>
      <x:c r="D26" s="18" t="str">
        <x:v>100 max(0,-min(progress))</x:v>
      </x:c>
      <x:c r="E26" s="18" t="str">
        <x:v>Nonzero qualified endpoint response</x:v>
      </x:c>
      <x:c r="F26" s="18" t="str">
        <x:v>NO_MEANINGFUL_RESPONSE</x:v>
      </x:c>
    </x:row>
    <x:row r="27" ht="64" customHeight="1">
      <x:c r="A27" s="18" t="str">
        <x:v>peak_time</x:v>
      </x:c>
      <x:c r="B27" s="18" t="str">
        <x:v>response</x:v>
      </x:c>
      <x:c r="C27" s="18" t="str">
        <x:v>s</x:v>
      </x:c>
      <x:c r="D27" s="18" t="str">
        <x:v>Time from event start to applicable peak</x:v>
      </x:c>
      <x:c r="E27" s="18" t="str">
        <x:v>Qualified response</x:v>
      </x:c>
      <x:c r="F27" s="18" t="str">
        <x:v>NO_QUALIFIED_PEAK</x:v>
      </x:c>
    </x:row>
    <x:row r="28" ht="64" customHeight="1">
      <x:c r="A28" s="18" t="str">
        <x:v>peak_pv</x:v>
      </x:c>
      <x:c r="B28" s="18" t="str">
        <x:v>response</x:v>
      </x:c>
      <x:c r="C28" s="18" t="str">
        <x:v>PV_EU</x:v>
      </x:c>
      <x:c r="D28" s="18" t="str">
        <x:v>Observed applicable extremum</x:v>
      </x:c>
      <x:c r="E28" s="18" t="str">
        <x:v>Qualified response</x:v>
      </x:c>
      <x:c r="F28" s="18" t="str">
        <x:v>INSUFFICIENT_SUPPORT</x:v>
      </x:c>
    </x:row>
    <x:row r="29" ht="64" customHeight="1">
      <x:c r="A29" s="18" t="str">
        <x:v>steady_error</x:v>
      </x:c>
      <x:c r="B29" s="18" t="str">
        <x:v>response</x:v>
      </x:c>
      <x:c r="C29" s="18" t="str">
        <x:v>PV_EU</x:v>
      </x:c>
      <x:c r="D29" s="18" t="str">
        <x:v>Final effective SP minus qualified endpoint</x:v>
      </x:c>
      <x:c r="E29" s="18" t="str">
        <x:v>Reference target</x:v>
      </x:c>
      <x:c r="F29" s="18" t="str">
        <x:v>NO_STABLE_ENDPOINT</x:v>
      </x:c>
    </x:row>
    <x:row r="30" ht="64" customHeight="1">
      <x:c r="A30" s="18" t="str">
        <x:v>decay_ratio</x:v>
      </x:c>
      <x:c r="B30" s="18" t="str">
        <x:v>response</x:v>
      </x:c>
      <x:c r="C30" s="18" t="str">
        <x:v>dimensionless</x:v>
      </x:c>
      <x:c r="D30" s="18" t="str">
        <x:v>Same-side second-to-first peak magnitude ratio</x:v>
      </x:c>
      <x:c r="E30" s="18" t="str">
        <x:v>At least two qualified like-side peaks</x:v>
      </x:c>
      <x:c r="F30" s="18" t="str">
        <x:v>NO_QUALIFIED_PEAK_PAIR</x:v>
      </x:c>
    </x:row>
    <x:row r="31" ht="64" customHeight="1">
      <x:c r="A31" s="18" t="str">
        <x:v>iae</x:v>
      </x:c>
      <x:c r="B31" s="18" t="str">
        <x:v>performance</x:v>
      </x:c>
      <x:c r="C31" s="18" t="str">
        <x:v>PV_EU*s</x:v>
      </x:c>
      <x:c r="D31" s="18" t="str">
        <x:v>Integral absolute error over qualified support</x:v>
      </x:c>
      <x:c r="E31" s="18" t="str">
        <x:v>Known reference and valid support</x:v>
      </x:c>
      <x:c r="F31" s="18" t="str">
        <x:v>NO_VALID_REFERENCE_SUPPORT</x:v>
      </x:c>
    </x:row>
    <x:row r="32" ht="64" customHeight="1">
      <x:c r="A32" s="18" t="str">
        <x:v>ise</x:v>
      </x:c>
      <x:c r="B32" s="18" t="str">
        <x:v>performance</x:v>
      </x:c>
      <x:c r="C32" s="18" t="str">
        <x:v>PV_EU^2*s</x:v>
      </x:c>
      <x:c r="D32" s="18" t="str">
        <x:v>Integral squared error</x:v>
      </x:c>
      <x:c r="E32" s="18" t="str">
        <x:v>Known reference and valid support</x:v>
      </x:c>
      <x:c r="F32" s="18" t="str">
        <x:v>NO_VALID_REFERENCE_SUPPORT</x:v>
      </x:c>
    </x:row>
    <x:row r="33" ht="64" customHeight="1">
      <x:c r="A33" s="18" t="str">
        <x:v>itae</x:v>
      </x:c>
      <x:c r="B33" s="18" t="str">
        <x:v>performance</x:v>
      </x:c>
      <x:c r="C33" s="18" t="str">
        <x:v>PV_EU*s^2</x:v>
      </x:c>
      <x:c r="D33" s="18" t="str">
        <x:v>Integral elapsed-time times absolute error</x:v>
      </x:c>
      <x:c r="E33" s="18" t="str">
        <x:v>Known reference and valid support</x:v>
      </x:c>
      <x:c r="F33" s="18" t="str">
        <x:v>NO_VALID_REFERENCE_SUPPORT</x:v>
      </x:c>
    </x:row>
    <x:row r="34" ht="64" customHeight="1">
      <x:c r="A34" s="18" t="str">
        <x:v>mae_time</x:v>
      </x:c>
      <x:c r="B34" s="18" t="str">
        <x:v>performance</x:v>
      </x:c>
      <x:c r="C34" s="18" t="str">
        <x:v>PV_EU</x:v>
      </x:c>
      <x:c r="D34" s="18" t="str">
        <x:v>IAE / valid duration</x:v>
      </x:c>
      <x:c r="E34" s="18" t="str">
        <x:v>Positive valid duration</x:v>
      </x:c>
      <x:c r="F34" s="18" t="str">
        <x:v>NO_VALID_DURATION</x:v>
      </x:c>
    </x:row>
    <x:row r="35" ht="64" customHeight="1">
      <x:c r="A35" s="18" t="str">
        <x:v>rmse_time</x:v>
      </x:c>
      <x:c r="B35" s="18" t="str">
        <x:v>performance</x:v>
      </x:c>
      <x:c r="C35" s="18" t="str">
        <x:v>PV_EU</x:v>
      </x:c>
      <x:c r="D35" s="18" t="str">
        <x:v>sqrt(ISE / valid duration)</x:v>
      </x:c>
      <x:c r="E35" s="18" t="str">
        <x:v>Positive valid duration</x:v>
      </x:c>
      <x:c r="F35" s="18" t="str">
        <x:v>NO_VALID_DURATION</x:v>
      </x:c>
    </x:row>
    <x:row r="36" ht="64" customHeight="1">
      <x:c r="A36" s="18" t="str">
        <x:v>valid_coverage</x:v>
      </x:c>
      <x:c r="B36" s="18" t="str">
        <x:v>qualification</x:v>
      </x:c>
      <x:c r="C36" s="18" t="str">
        <x:v>fraction</x:v>
      </x:c>
      <x:c r="D36" s="18" t="str">
        <x:v>Unique qualified time / event elapsed support</x:v>
      </x:c>
      <x:c r="E36" s="18" t="str">
        <x:v>All events</x:v>
      </x:c>
      <x:c r="F36" s="18" t="str">
        <x:v>NO_DECLARED_INTERVAL</x:v>
      </x:c>
    </x:row>
    <x:row r="37" ht="64" customHeight="1">
      <x:c r="A37" s="18" t="str">
        <x:v>constraint_duration</x:v>
      </x:c>
      <x:c r="B37" s="18" t="str">
        <x:v>qualification</x:v>
      </x:c>
      <x:c r="C37" s="18" t="str">
        <x:v>s</x:v>
      </x:c>
      <x:c r="D37" s="18" t="str">
        <x:v>Union of valid time at actual applied limits</x:v>
      </x:c>
      <x:c r="E37" s="18" t="str">
        <x:v>Known time-valid limits</x:v>
      </x:c>
      <x:c r="F37" s="18" t="str">
        <x:v>LIMITS_UNKNOWN</x:v>
      </x:c>
    </x:row>
    <x:row r="38" ht="64" customHeight="1">
      <x:c r="A38" s="18" t="str">
        <x:v>validation_rmse</x:v>
      </x:c>
      <x:c r="B38" s="18" t="str">
        <x:v>validation</x:v>
      </x:c>
      <x:c r="C38" s="18" t="str">
        <x:v>PV_EU</x:v>
      </x:c>
      <x:c r="D38" s="18" t="str">
        <x:v>Free-run error on independent valid holdout</x:v>
      </x:c>
      <x:c r="E38" s="18" t="str">
        <x:v>Candidate model with holdout</x:v>
      </x:c>
      <x:c r="F38" s="18" t="str">
        <x:v>NO_INDEPENDENT_VALIDATION</x:v>
      </x:c>
    </x:row>
    <x:row r="39" ht="64" customHeight="1">
      <x:c r="A39" s="18" t="str">
        <x:v>prediction_rmse</x:v>
      </x:c>
      <x:c r="B39" s="18" t="str">
        <x:v>validation</x:v>
      </x:c>
      <x:c r="C39" s="18" t="str">
        <x:v>PV_EU</x:v>
      </x:c>
      <x:c r="D39" s="18" t="str">
        <x:v>One-step prediction error with stated noise model</x:v>
      </x:c>
      <x:c r="E39" s="18" t="str">
        <x:v>Qualified predictor</x:v>
      </x:c>
      <x:c r="F39" s="18" t="str">
        <x:v>PREDICTOR_UNAVAILABLE</x:v>
      </x:c>
    </x:row>
    <x:row r="40" ht="64" customHeight="1">
      <x:c r="A40" s="18" t="str">
        <x:v>fit_improvement</x:v>
      </x:c>
      <x:c r="B40" s="18" t="str">
        <x:v>validation</x:v>
      </x:c>
      <x:c r="C40" s="18" t="str">
        <x:v>fraction</x:v>
      </x:c>
      <x:c r="D40" s="18" t="str">
        <x:v>1 - weighted RMSE / baseline weighted RMSE</x:v>
      </x:c>
      <x:c r="E40" s="18" t="str">
        <x:v>Nondegenerate named baseline</x:v>
      </x:c>
      <x:c r="F40" s="18" t="str">
        <x:v>DEGENERATE_OR_UNSPECIFIED_BASELINE</x:v>
      </x:c>
    </x:row>
    <x:row r="41" ht="64" customHeight="1">
      <x:c r="A41" s="18" t="str">
        <x:v>residual_bias</x:v>
      </x:c>
      <x:c r="B41" s="18" t="str">
        <x:v>validation</x:v>
      </x:c>
      <x:c r="C41" s="18" t="str">
        <x:v>PV_EU</x:v>
      </x:c>
      <x:c r="D41" s="18" t="str">
        <x:v>Weighted residual mean</x:v>
      </x:c>
      <x:c r="E41" s="18" t="str">
        <x:v>Qualified residual support</x:v>
      </x:c>
      <x:c r="F41" s="18" t="str">
        <x:v>NO_RESIDUAL_SUPPORT</x:v>
      </x:c>
    </x:row>
    <x:row r="42" ht="64" customHeight="1">
      <x:c r="A42" s="18" t="str">
        <x:v>gain_margin</x:v>
      </x:c>
      <x:c r="B42" s="18" t="str">
        <x:v>robustness</x:v>
      </x:c>
      <x:c r="C42" s="18" t="str">
        <x:v>dB</x:v>
      </x:c>
      <x:c r="D42" s="18" t="str">
        <x:v>Model-derived gain margin at specified crossing</x:v>
      </x:c>
      <x:c r="E42" s="18" t="str">
        <x:v>Known compatible open-loop path</x:v>
      </x:c>
      <x:c r="F42" s="18" t="str">
        <x:v>UNKNOWN_CONTROLLER_OR_NO_VALID_CROSSING</x:v>
      </x:c>
    </x:row>
    <x:row r="43" ht="64" customHeight="1">
      <x:c r="A43" s="18" t="str">
        <x:v>phase_margin</x:v>
      </x:c>
      <x:c r="B43" s="18" t="str">
        <x:v>robustness</x:v>
      </x:c>
      <x:c r="C43" s="18" t="str">
        <x:v>degree</x:v>
      </x:c>
      <x:c r="D43" s="18" t="str">
        <x:v>Model-derived phase margin at specified crossing</x:v>
      </x:c>
      <x:c r="E43" s="18" t="str">
        <x:v>Known compatible open-loop path</x:v>
      </x:c>
      <x:c r="F43" s="18" t="str">
        <x:v>UNKNOWN_CONTROLLER_OR_NO_VALID_CROSSING</x:v>
      </x:c>
    </x:row>
    <x:row r="44" ht="64" customHeight="1">
      <x:c r="A44" s="18" t="str">
        <x:v>gain_crossover</x:v>
      </x:c>
      <x:c r="B44" s="18" t="str">
        <x:v>robustness</x:v>
      </x:c>
      <x:c r="C44" s="18" t="str">
        <x:v>rad/s</x:v>
      </x:c>
      <x:c r="D44" s="18" t="str">
        <x:v>All qualifying unity-gain crossings retained</x:v>
      </x:c>
      <x:c r="E44" s="18" t="str">
        <x:v>Validated excited frequency range</x:v>
      </x:c>
      <x:c r="F44" s="18" t="str">
        <x:v>NO_VALID_CROSSING</x:v>
      </x:c>
    </x:row>
    <x:row r="45" ht="64" customHeight="1">
      <x:c r="A45" s="18" t="str">
        <x:v>phase_crossover</x:v>
      </x:c>
      <x:c r="B45" s="18" t="str">
        <x:v>robustness</x:v>
      </x:c>
      <x:c r="C45" s="18" t="str">
        <x:v>rad/s</x:v>
      </x:c>
      <x:c r="D45" s="18" t="str">
        <x:v>All qualifying phase crossings retained</x:v>
      </x:c>
      <x:c r="E45" s="18" t="str">
        <x:v>Validated excited frequency range</x:v>
      </x:c>
      <x:c r="F45" s="18" t="str">
        <x:v>NO_VALID_CROSSING</x:v>
      </x:c>
    </x:row>
    <x:row r="46" ht="64" customHeight="1">
      <x:c r="A46" s="18" t="str">
        <x:v>peak_sensitivity</x:v>
      </x:c>
      <x:c r="B46" s="18" t="str">
        <x:v>robustness</x:v>
      </x:c>
      <x:c r="C46" s="18" t="str">
        <x:v>dimensionless</x:v>
      </x:c>
      <x:c r="D46" s="18" t="str">
        <x:v>Maximum |1/(1+L)| over validated domain</x:v>
      </x:c>
      <x:c r="E46" s="18" t="str">
        <x:v>Compatible feedback transfer</x:v>
      </x:c>
      <x:c r="F46" s="18" t="str">
        <x:v>MODEL_DOMAIN_UNAVAILABLE</x:v>
      </x:c>
    </x:row>
    <x:row r="47" ht="64" customHeight="1">
      <x:c r="A47" s="18" t="str">
        <x:v>peak_complementary_sensitivity</x:v>
      </x:c>
      <x:c r="B47" s="18" t="str">
        <x:v>robustness</x:v>
      </x:c>
      <x:c r="C47" s="18" t="str">
        <x:v>dimensionless</x:v>
      </x:c>
      <x:c r="D47" s="18" t="str">
        <x:v>Maximum |L/(1+L)| over validated domain</x:v>
      </x:c>
      <x:c r="E47" s="18" t="str">
        <x:v>Compatible feedback transfer</x:v>
      </x:c>
      <x:c r="F47" s="18" t="str">
        <x:v>MODEL_DOMAIN_UNAVAILABLE</x:v>
      </x:c>
    </x:row>
    <x:row r="48" ht="64" customHeight="1">
      <x:c r="A48" s="18" t="str">
        <x:v>closed_loop_bandwidth</x:v>
      </x:c>
      <x:c r="B48" s="18" t="str">
        <x:v>robustness</x:v>
      </x:c>
      <x:c r="C48" s="18" t="str">
        <x:v>rad/s</x:v>
      </x:c>
      <x:c r="D48" s="18" t="str">
        <x:v>Declared response -3dB convention and usable domain</x:v>
      </x:c>
      <x:c r="E48" s="18" t="str">
        <x:v>Compatible reference path</x:v>
      </x:c>
      <x:c r="F48" s="18" t="str">
        <x:v>NO_VALID_BANDWIDTH</x:v>
      </x:c>
    </x:row>
    <x:row r="49" ht="64" customHeight="1">
      <x:c r="A49" s="18" t="str">
        <x:v>t10</x:v>
      </x:c>
      <x:c r="B49" s="18" t="str">
        <x:v>response</x:v>
      </x:c>
      <x:c r="C49" s="18" t="str">
        <x:v>s</x:v>
      </x:c>
      <x:c r="D49" s="18" t="str">
        <x:v>First sustained 10% progress crossing, direction-normalized</x:v>
      </x:c>
      <x:c r="E49" s="18" t="str">
        <x:v>Qualified endpoint response</x:v>
      </x:c>
      <x:c r="F49" s="18" t="str">
        <x:v>CENSORED_OR_NO_ENDPOINT</x:v>
      </x:c>
    </x:row>
    <x:row r="50" ht="64" customHeight="1">
      <x:c r="A50" s="18" t="str">
        <x:v>t50</x:v>
      </x:c>
      <x:c r="B50" s="18" t="str">
        <x:v>response</x:v>
      </x:c>
      <x:c r="C50" s="18" t="str">
        <x:v>s</x:v>
      </x:c>
      <x:c r="D50" s="18" t="str">
        <x:v>First sustained 50% progress crossing, direction-normalized</x:v>
      </x:c>
      <x:c r="E50" s="18" t="str">
        <x:v>Qualified endpoint response</x:v>
      </x:c>
      <x:c r="F50" s="18" t="str">
        <x:v>CENSORED_OR_NO_ENDPOINT</x:v>
      </x:c>
    </x:row>
    <x:row r="51" ht="64" customHeight="1">
      <x:c r="A51" s="18" t="str">
        <x:v>t63</x:v>
      </x:c>
      <x:c r="B51" s="18" t="str">
        <x:v>response</x:v>
      </x:c>
      <x:c r="C51" s="18" t="str">
        <x:v>s</x:v>
      </x:c>
      <x:c r="D51" s="18" t="str">
        <x:v>First sustained 63% progress crossing, direction-normalized</x:v>
      </x:c>
      <x:c r="E51" s="18" t="str">
        <x:v>Qualified endpoint response</x:v>
      </x:c>
      <x:c r="F51" s="18" t="str">
        <x:v>CENSORED_OR_NO_ENDPOINT</x:v>
      </x:c>
    </x:row>
    <x:row r="52" ht="64" customHeight="1">
      <x:c r="A52" s="18" t="str">
        <x:v>t90</x:v>
      </x:c>
      <x:c r="B52" s="18" t="str">
        <x:v>response</x:v>
      </x:c>
      <x:c r="C52" s="18" t="str">
        <x:v>s</x:v>
      </x:c>
      <x:c r="D52" s="18" t="str">
        <x:v>First sustained 90% progress crossing, direction-normalized</x:v>
      </x:c>
      <x:c r="E52" s="18" t="str">
        <x:v>Qualified endpoint response</x:v>
      </x:c>
      <x:c r="F52" s="18" t="str">
        <x:v>CENSORED_OR_NO_ENDPOINT</x:v>
      </x:c>
    </x:row>
    <x:row r="53" ht="64" customHeight="1">
      <x:c r="A53" s="18" t="str">
        <x:v>controller_gain</x:v>
      </x:c>
      <x:c r="B53" s="18" t="str">
        <x:v>controller</x:v>
      </x:c>
      <x:c r="C53" s="18" t="str">
        <x:v>native_units</x:v>
      </x:c>
      <x:c r="D53" s="18" t="str">
        <x:v>Configured native proportional parameter with adapter meaning</x:v>
      </x:c>
      <x:c r="E53" s="18" t="str">
        <x:v>Verified controller configuration</x:v>
      </x:c>
      <x:c r="F53" s="18" t="str">
        <x:v>CONFIGURATION_UNKNOWN</x:v>
      </x:c>
    </x:row>
    <x:row r="54" ht="64" customHeight="1">
      <x:c r="A54" s="18" t="str">
        <x:v>controller_ti</x:v>
      </x:c>
      <x:c r="B54" s="18" t="str">
        <x:v>controller</x:v>
      </x:c>
      <x:c r="C54" s="18" t="str">
        <x:v>s</x:v>
      </x:c>
      <x:c r="D54" s="18" t="str">
        <x:v>Converted integral time; native form retained</x:v>
      </x:c>
      <x:c r="E54" s="18" t="str">
        <x:v>Verified controller configuration</x:v>
      </x:c>
      <x:c r="F54" s="18" t="str">
        <x:v>CONFIGURATION_UNKNOWN</x:v>
      </x:c>
    </x:row>
    <x:row r="55" ht="64" customHeight="1">
      <x:c r="A55" s="18" t="str">
        <x:v>controller_td</x:v>
      </x:c>
      <x:c r="B55" s="18" t="str">
        <x:v>controller</x:v>
      </x:c>
      <x:c r="C55" s="18" t="str">
        <x:v>s</x:v>
      </x:c>
      <x:c r="D55" s="18" t="str">
        <x:v>Converted derivative time; filter retained</x:v>
      </x:c>
      <x:c r="E55" s="18" t="str">
        <x:v>Verified controller configuration</x:v>
      </x:c>
      <x:c r="F55" s="18" t="str">
        <x:v>CONFIGURATION_UNKNOWN</x:v>
      </x:c>
    </x:row>
    <x:row r="56" ht="64" customHeight="1">
      <x:c r="A56" s="18" t="str">
        <x:v>controller_scan</x:v>
      </x:c>
      <x:c r="B56" s="18" t="str">
        <x:v>controller</x:v>
      </x:c>
      <x:c r="C56" s="18" t="str">
        <x:v>s</x:v>
      </x:c>
      <x:c r="D56" s="18" t="str">
        <x:v>Actual installed controller execution period</x:v>
      </x:c>
      <x:c r="E56" s="18" t="str">
        <x:v>Verified controller configuration</x:v>
      </x:c>
      <x:c r="F56" s="18" t="str">
        <x:v>CONFIGURATION_UNKNOWN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8c4c3f21008d47c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40" hidden="0" customWidth="1"/>
    <x:col min="4" max="4" width="40" hidden="0" customWidth="1"/>
    <x:col min="5" max="5" width="40" hidden="0" customWidth="1"/>
  </x:cols>
  <x:sheetData>
    <x:row r="1" ht="32" customHeight="1">
      <x:c r="A1" s="3" t="str">
        <x:v>SOURCE / DOCUMENT DIFFERENCES</x:v>
      </x:c>
      <x:c r="B1" s="3"/>
      <x:c r="C1" s="3"/>
      <x:c r="D1" s="3"/>
      <x:c r="E1" s="3"/>
    </x:row>
    <x:row r="2" ht="36" customHeight="1">
      <x:c r="A2" s="7" t="str">
        <x:v>Do not silently reconcile these seven differences or mark an old defect as currently present without the matching code.</x:v>
      </x:c>
      <x:c r="B2" s="7"/>
      <x:c r="C2" s="7"/>
      <x:c r="D2" s="7"/>
      <x:c r="E2" s="7"/>
    </x:row>
    <x:row r="4" ht="30" customHeight="1">
      <x:c r="A4" s="12" t="str">
        <x:v>ID</x:v>
      </x:c>
      <x:c r="B4" s="12" t="str">
        <x:v>Topic</x:v>
      </x:c>
      <x:c r="C4" s="12" t="str">
        <x:v>Archive source</x:v>
      </x:c>
      <x:c r="D4" s="12" t="str">
        <x:v>New document</x:v>
      </x:c>
      <x:c r="E4" s="12" t="str">
        <x:v>Required disposition</x:v>
      </x:c>
    </x:row>
    <x:row r="5" ht="140" customHeight="1">
      <x:c r="A5" s="18" t="str">
        <x:v>C01</x:v>
      </x:c>
      <x:c r="B5" s="18" t="str">
        <x:v>G3 error band</x:v>
      </x:c>
      <x:c r="C5" s="18" t="str">
        <x:v>Archive uses fixed 0.5 in computeShortFeatures.</x:v>
      </x:c>
      <x:c r="D5" s="18" t="str">
        <x:v>V §4.1 now says 0.005 × declared PV span.</x:v>
      </x:c>
      <x:c r="E5" s="18" t="str">
        <x:v>Treat span support as DOCUMENT-REPORTED UPDATE; do not repeat fixed-band defect as current fact. Verify actual arithmetic AND propagation of pvEng ranges in deployed jar.</x:v>
      </x:c>
    </x:row>
    <x:row r="6" ht="140" customHeight="1">
      <x:c r="A6" s="18" t="str">
        <x:v>C02</x:v>
      </x:c>
      <x:c r="B6" s="18" t="str">
        <x:v>Tuple cadence and timestamp</x:v>
      </x:c>
      <x:c r="C6" s="18" t="str">
        <x:v>Archive LoopJoiner emits every grid with grid timestamp and age checks.</x:v>
      </x:c>
      <x:c r="D6" s="18" t="str">
        <x:v>A B2 / V §2 say quiet ticks skipped and newest source timestamp is tuple event time.</x:v>
      </x:c>
      <x:c r="E6" s="18" t="str">
        <x:v>These represent materially different acquisition semantics. Release needs per-role time/freshness and explicit source contract for either behavior.</x:v>
      </x:c>
    </x:row>
    <x:row r="7" ht="140" customHeight="1">
      <x:c r="A7" s="18" t="str">
        <x:v>C03</x:v>
      </x:c>
      <x:c r="B7" s="18" t="str">
        <x:v>Live heartbeat</x:v>
      </x:c>
      <x:c r="C7" s="18" t="str">
        <x:v>Archive RBE has value-only change filter and no heartbeat.</x:v>
      </x:c>
      <x:c r="D7" s="18" t="str">
        <x:v>A A4/B9 says 300-second heartbeat, with fresh ts.</x:v>
      </x:c>
      <x:c r="E7" s="18" t="str">
        <x:v>Do not claim heartbeat absent on current branch. Verify quality-only emission and source-versus-heartbeat timestamp separation.</x:v>
      </x:c>
    </x:row>
    <x:row r="8" ht="140" customHeight="1">
      <x:c r="A8" s="18" t="str">
        <x:v>C04</x:v>
      </x:c>
      <x:c r="B8" s="18" t="str">
        <x:v>Long minimum sample count</x:v>
      </x:c>
      <x:c r="C8" s="18" t="str">
        <x:v>Older PDF and source do not consistently state the same threshold.</x:v>
      </x:c>
      <x:c r="D8" s="18" t="str">
        <x:v>A/V specify at least 32 per long slice.</x:v>
      </x:c>
      <x:c r="E8" s="18" t="str">
        <x:v>Use 32 as documented current minimum, but method eligibility still needs bandwidth, cycles, coverage and event support.</x:v>
      </x:c>
    </x:row>
    <x:row r="9" ht="140" customHeight="1">
      <x:c r="A9" s="18" t="str">
        <x:v>C05</x:v>
      </x:c>
      <x:c r="B9" s="18" t="str">
        <x:v>Everything overridable</x:v>
      </x:c>
      <x:c r="C9" s="18" t="str">
        <x:v>Archive parser exposes a subset; several constants remain embedded.</x:v>
      </x:c>
      <x:c r="D9" s="18" t="str">
        <x:v>V §9 says G4 3/8 hardcoded then says all overridable.</x:v>
      </x:c>
      <x:c r="E9" s="18" t="str">
        <x:v>Contradiction is unresolved. Require catalogue-to-runtime mutation tests; never trust a profile ID or JSON acceptance as proof.</x:v>
      </x:c>
    </x:row>
    <x:row r="10" ht="140" customHeight="1">
      <x:c r="A10" s="18" t="str">
        <x:v>C06</x:v>
      </x:c>
      <x:c r="B10" s="18" t="str">
        <x:v>Event-time lateness</x:v>
      </x:c>
      <x:c r="C10" s="18" t="str">
        <x:v>Static short windows specify allowed lateness; long keyed timers differ.</x:v>
      </x:c>
      <x:c r="D10" s="18" t="str">
        <x:v>A/V summarize all samples beyond 2-min watermark as dropped.</x:v>
      </x:c>
      <x:c r="E10" s="18" t="str">
        <x:v>Verify each operator side-output/correction policy. A watermark does not alone specify late-data treatment for every custom process operator.</x:v>
      </x:c>
    </x:row>
    <x:row r="11" ht="140" customHeight="1">
      <x:c r="A11" s="18" t="str">
        <x:v>C07</x:v>
      </x:c>
      <x:c r="B11" s="18" t="str">
        <x:v>Build identity</x:v>
      </x:c>
      <x:c r="C11" s="18" t="str">
        <x:v>Archive comment identifies one revision; formulas and line counts differ from new documents.</x:v>
      </x:c>
      <x:c r="D11" s="18" t="str">
        <x:v>Both report calc 3.0.0 and dynamics 2.0.0.</x:v>
      </x:c>
      <x:c r="E11" s="18" t="str">
        <x:v>Display artifact SHA, source commit, schema version, method version and config hash. Version strings alone do not identify identical code.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a1a0dc262fb0406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8" hidden="0" customWidth="1"/>
    <x:col min="3" max="3" width="30" hidden="0" customWidth="1"/>
    <x:col min="4" max="4" width="40" hidden="0" customWidth="1"/>
    <x:col min="5" max="5" width="40" hidden="0" customWidth="1"/>
    <x:col min="6" max="6" width="40" hidden="0" customWidth="1"/>
  </x:cols>
  <x:sheetData>
    <x:row r="1" ht="32" customHeight="1">
      <x:c r="A1" s="3" t="str">
        <x:v>DYNAMICS, SERVICE AND TOPOLOGY COVERAGE</x:v>
      </x:c>
      <x:c r="B1" s="3"/>
      <x:c r="C1" s="3"/>
      <x:c r="D1" s="3"/>
      <x:c r="E1" s="3"/>
      <x:c r="F1" s="3"/>
    </x:row>
    <x:row r="2" ht="36" customHeight="1">
      <x:c r="A2" s="7" t="str">
        <x:v>Service family, dynamic class, objective, authority and acquisition are independent. Explicit abstention is required outside an installed method domain.</x:v>
      </x:c>
      <x:c r="B2" s="7"/>
      <x:c r="C2" s="7"/>
      <x:c r="D2" s="7"/>
      <x:c r="E2" s="7"/>
      <x:c r="F2" s="7"/>
    </x:row>
    <x:row r="4" ht="30" customHeight="1">
      <x:c r="A4" s="12" t="str">
        <x:v>Family</x:v>
      </x:c>
      <x:c r="B4" s="12" t="str">
        <x:v>Dynamics</x:v>
      </x:c>
      <x:c r="C4" s="12" t="str">
        <x:v>Objective</x:v>
      </x:c>
      <x:c r="D4" s="12" t="str">
        <x:v>Response support</x:v>
      </x:c>
      <x:c r="E4" s="12" t="str">
        <x:v>Required context</x:v>
      </x:c>
      <x:c r="F4" s="12" t="str">
        <x:v>Critical guard</x:v>
      </x:c>
    </x:row>
    <x:row r="5" ht="100" customHeight="1">
      <x:c r="A5" s="18" t="str">
        <x:v>FLOW</x:v>
      </x:c>
      <x:c r="B5" s="18" t="str">
        <x:v>Often fast self-regulating; may be slow transport/inventory or nonlinear</x:v>
      </x:c>
      <x:c r="C5" s="18" t="str">
        <x:v>Tight, ratio, or constraint</x:v>
      </x:c>
      <x:c r="D5" s="18" t="str">
        <x:v>FOPDT/SOPDT when identifiable; servo separate</x:v>
      </x:c>
      <x:c r="E5" s="18" t="str">
        <x:v>Actual applied valve/VFD command; fast native sampling</x:v>
      </x:c>
      <x:c r="F5" s="18" t="str">
        <x:v>No stiction from normal lag/geometry; 5 s sampling cannot resolve a 5–10 s waveform with 8 points/cycle</x:v>
      </x:c>
    </x:row>
    <x:row r="6" ht="100" customHeight="1">
      <x:c r="A6" s="18" t="str">
        <x:v>PRESSURE_LIQUID</x:v>
      </x:c>
      <x:c r="B6" s="18" t="str">
        <x:v>Often fast, may be strongly coupled</x:v>
      </x:c>
      <x:c r="C6" s="18" t="str">
        <x:v>Tight/constraint</x:v>
      </x:c>
      <x:c r="D6" s="18" t="str">
        <x:v>FOPDT/SOPDT; process topology matters</x:v>
      </x:c>
      <x:c r="E6" s="18" t="str">
        <x:v>Pressure taps, pumps/valves, measured load</x:v>
      </x:c>
      <x:c r="F6" s="18" t="str">
        <x:v>Do not infer gas/volume dynamics from P tag alone</x:v>
      </x:c>
    </x:row>
    <x:row r="7" ht="100" customHeight="1">
      <x:c r="A7" s="18" t="str">
        <x:v>PRESSURE_GAS</x:v>
      </x:c>
      <x:c r="B7" s="18" t="str">
        <x:v>Finite-gain or integrating depending on mass balance/outflow</x:v>
      </x:c>
      <x:c r="C7" s="18" t="str">
        <x:v>Tight or inventory buffering</x:v>
      </x:c>
      <x:c r="D7" s="18" t="str">
        <x:v>FOPDT/IPDT/integrator+lag as identified</x:v>
      </x:c>
      <x:c r="E7" s="18" t="str">
        <x:v>Volume/outflow, actual manipulated flow or command</x:v>
      </x:c>
      <x:c r="F7" s="18" t="str">
        <x:v>Not every gas pressure loop is averaging or integrating</x:v>
      </x:c>
    </x:row>
    <x:row r="8" ht="100" customHeight="1">
      <x:c r="A8" s="18" t="str">
        <x:v>PRESSURE_VAPOUR</x:v>
      </x:c>
      <x:c r="B8" s="18" t="str">
        <x:v>Thermal/condensation delay plus inventory possible</x:v>
      </x:c>
      <x:c r="C8" s="18" t="str">
        <x:v>Tight/constraint</x:v>
      </x:c>
      <x:c r="D8" s="18" t="str">
        <x:v>FOPDT/SOPDT or explicit integrator</x:v>
      </x:c>
      <x:c r="E8" s="18" t="str">
        <x:v>Utility/heat input, sensor/transport lag</x:v>
      </x:c>
      <x:c r="F8" s="18" t="str">
        <x:v>Temperature-like default is a prior, not proof</x:v>
      </x:c>
    </x:row>
    <x:row r="9" ht="100" customHeight="1">
      <x:c r="A9" s="18" t="str">
        <x:v>LEVEL</x:v>
      </x:c>
      <x:c r="B9" s="18" t="str">
        <x:v>Integrating or self-regulating draining system</x:v>
      </x:c>
      <x:c r="C9" s="18" t="str">
        <x:v>Tight or averaging inventory</x:v>
      </x:c>
      <x:c r="D9" s="18" t="str">
        <x:v>IPDT/integrator+lag; FOPDT if finite-gain demonstrated</x:v>
      </x:c>
      <x:c r="E9" s="18" t="str">
        <x:v>Inlet/outlet topology and controller action</x:v>
      </x:c>
      <x:c r="F9" s="18" t="str">
        <x:v>No static Kp/open-loop settling for IPDT; closed-loop level CAN have finite servo settling</x:v>
      </x:c>
    </x:row>
    <x:row r="10" ht="100" customHeight="1">
      <x:c r="A10" s="18" t="str">
        <x:v>TEMPERATURE</x:v>
      </x:c>
      <x:c r="B10" s="18" t="str">
        <x:v>Slow, delayed, sometimes integrating/nonlinear</x:v>
      </x:c>
      <x:c r="C10" s="18" t="str">
        <x:v>Tight, ramp or batch</x:v>
      </x:c>
      <x:c r="D10" s="18" t="str">
        <x:v>FOPDT/SOPDT, gain scheduling by regime</x:v>
      </x:c>
      <x:c r="E10" s="18" t="str">
        <x:v>Utilities, cascade slave, sensor lag, filters</x:v>
      </x:c>
      <x:c r="F10" s="18" t="str">
        <x:v>Keep command dynamics separate from thermal process; quiet PV does not prove actuator fault</x:v>
      </x:c>
    </x:row>
    <x:row r="11" ht="100" customHeight="1">
      <x:c r="A11" s="18" t="str">
        <x:v>COMPOSITION_ANALYZER</x:v>
      </x:c>
      <x:c r="B11" s="18" t="str">
        <x:v>Sample-and-hold, irregular lab/analyzer updates, transport delay</x:v>
      </x:c>
      <x:c r="C11" s="18" t="str">
        <x:v>Quality tracking or supervisory</x:v>
      </x:c>
      <x:c r="D11" s="18" t="str">
        <x:v>Only acquisition-aware validated adapters</x:v>
      </x:c>
      <x:c r="E11" s="18" t="str">
        <x:v>Analyzer sample/analysis/release times and calibration</x:v>
      </x:c>
      <x:c r="F11" s="18" t="str">
        <x:v>Interpolation must not create artificial excitation or delay precision</x:v>
      </x:c>
    </x:row>
    <x:row r="12" ht="100" customHeight="1">
      <x:c r="A12" s="18" t="str">
        <x:v>PH_CONDUCTIVITY</x:v>
      </x:c>
      <x:c r="B12" s="18" t="str">
        <x:v>Strongly nonlinear local gain, mixing and sensor dynamics</x:v>
      </x:c>
      <x:c r="C12" s="18" t="str">
        <x:v>Regime-dependent quality</x:v>
      </x:c>
      <x:c r="D12" s="18" t="str">
        <x:v>Qualified local models; nonlinear adapter only if installed</x:v>
      </x:c>
      <x:c r="E12" s="18" t="str">
        <x:v>Operating chemistry/regime and measurement condition</x:v>
      </x:c>
      <x:c r="F12" s="18" t="str">
        <x:v>Do not extrapolate local gain across operating range</x:v>
      </x:c>
    </x:row>
    <x:row r="13" ht="100" customHeight="1">
      <x:c r="A13" s="18" t="str">
        <x:v>SPEED_POSITION_POWER</x:v>
      </x:c>
      <x:c r="B13" s="18" t="str">
        <x:v>Fast actuator/drive dynamics and limits</x:v>
      </x:c>
      <x:c r="C13" s="18" t="str">
        <x:v>Tracking/ramp/constraint</x:v>
      </x:c>
      <x:c r="D13" s="18" t="str">
        <x:v>Installed sufficiently sampled models</x:v>
      </x:c>
      <x:c r="E13" s="18" t="str">
        <x:v>Applied drive command, feedback and selection</x:v>
      </x:c>
      <x:c r="F13" s="18" t="str">
        <x:v>Insufficient bandwidth must return method unavailable</x:v>
      </x:c>
    </x:row>
    <x:row r="14" ht="100" customHeight="1">
      <x:c r="A14" s="18" t="str">
        <x:v>CASCADE</x:v>
      </x:c>
      <x:c r="B14" s="18" t="str">
        <x:v>Master/slave composition</x:v>
      </x:c>
      <x:c r="C14" s="18" t="str">
        <x:v>Master quality and slave tracking</x:v>
      </x:c>
      <x:c r="D14" s="18" t="str">
        <x:v>Individual paths and verified aggregate model</x:v>
      </x:c>
      <x:c r="E14" s="18" t="str">
        <x:v>Master OP may be slave SP; actual slave demand required</x:v>
      </x:c>
      <x:c r="F14" s="18" t="str">
        <x:v>No direct master-OP-to-valve comparison without command path</x:v>
      </x:c>
    </x:row>
    <x:row r="15" ht="100" customHeight="1">
      <x:c r="A15" s="18" t="str">
        <x:v>SPLIT_RANGE_OVERRIDE_RATIO</x:v>
      </x:c>
      <x:c r="B15" s="18" t="str">
        <x:v>Piecewise selection and characteristic</x:v>
      </x:c>
      <x:c r="C15" s="18" t="str">
        <x:v>Constraint or ratio objective</x:v>
      </x:c>
      <x:c r="D15" s="18" t="str">
        <x:v>Segment-specific model only when authority stable</x:v>
      </x:c>
      <x:c r="E15" s="18" t="str">
        <x:v>Selector IDs, active range, ratio denominator and feedforward</x:v>
      </x:c>
      <x:c r="F15" s="18" t="str">
        <x:v>No mixed-authority identification or linear model across branch transition</x:v>
      </x:c>
    </x:row>
    <x:row r="16" ht="100" customHeight="1">
      <x:c r="A16" s="18" t="str">
        <x:v>UNKNOWN_UNSTABLE_INVERSE_MIMO</x:v>
      </x:c>
      <x:c r="B16" s="18" t="str">
        <x:v>Unknown or exceptional dynamics</x:v>
      </x:c>
      <x:c r="C16" s="18" t="str">
        <x:v>Explicit engineering objective</x:v>
      </x:c>
      <x:c r="D16" s="18" t="str">
        <x:v>Descriptive metrics; unsupported models abstain</x:v>
      </x:c>
      <x:c r="E16" s="18" t="str">
        <x:v>Additional context and validated specialist adapter</x:v>
      </x:c>
      <x:c r="F16" s="18" t="str">
        <x:v>No claim of universal identification until required model/validation exists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eed16d2206134e29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0" hidden="0" customWidth="1"/>
    <x:col min="3" max="3" width="30" hidden="0" customWidth="1"/>
    <x:col min="4" max="4" width="40" hidden="0" customWidth="1"/>
    <x:col min="5" max="5" width="34" hidden="0" customWidth="1"/>
  </x:cols>
  <x:sheetData>
    <x:row r="1" ht="32" customHeight="1">
      <x:c r="A1" s="3" t="str">
        <x:v>PROPOSED API ADDITIONS / EXTENSIONS</x:v>
      </x:c>
      <x:c r="B1" s="3"/>
      <x:c r="C1" s="3"/>
      <x:c r="D1" s="3"/>
      <x:c r="E1" s="3"/>
    </x:row>
    <x:row r="2" ht="36" customHeight="1">
      <x:c r="A2" s="7" t="str">
        <x:v>25 operations. Server checks identity/scope/version. Asynchronous math remains in Flink. Routes here are not claimed deployed.</x:v>
      </x:c>
      <x:c r="B2" s="7"/>
      <x:c r="C2" s="7"/>
      <x:c r="D2" s="7"/>
      <x:c r="E2" s="7"/>
    </x:row>
    <x:row r="4" ht="30" customHeight="1">
      <x:c r="A4" s="12" t="str">
        <x:v>Method</x:v>
      </x:c>
      <x:c r="B4" s="12" t="str">
        <x:v>Path</x:v>
      </x:c>
      <x:c r="C4" s="12" t="str">
        <x:v>Permission</x:v>
      </x:c>
      <x:c r="D4" s="12" t="str">
        <x:v>Purpose</x:v>
      </x:c>
      <x:c r="E4" s="12" t="str">
        <x:v>Status</x:v>
      </x:c>
    </x:row>
    <x:row r="5" ht="80" customHeight="1">
      <x:c r="A5" s="18" t="str">
        <x:v>GET</x:v>
      </x:c>
      <x:c r="B5" s="18" t="str">
        <x:v>/api/v1/cpm/capabilities</x:v>
      </x:c>
      <x:c r="C5" s="18" t="str">
        <x:v>analytics.view</x:v>
      </x:c>
      <x:c r="D5" s="18" t="str">
        <x:v>Installed build/methods/schemas/config property support</x:v>
      </x:c>
      <x:c r="E5" s="18" t="str">
        <x:v>PROPOSED — extend existing cplm-api; no KPI recompute</x:v>
      </x:c>
    </x:row>
    <x:row r="6" ht="80" customHeight="1">
      <x:c r="A6" s="18" t="str">
        <x:v>GET</x:v>
      </x:c>
      <x:c r="B6" s="18" t="str">
        <x:v>/api/v1/cpm/gate-catalogue</x:v>
      </x:c>
      <x:c r="C6" s="18" t="str">
        <x:v>analytics.view</x:v>
      </x:c>
      <x:c r="D6" s="18" t="str">
        <x:v>All gate definitions, actual capability and property metadata</x:v>
      </x:c>
      <x:c r="E6" s="18" t="str">
        <x:v>PROPOSED — extend existing cplm-api; no KPI recompute</x:v>
      </x:c>
    </x:row>
    <x:row r="7" ht="80" customHeight="1">
      <x:c r="A7" s="18" t="str">
        <x:v>GET</x:v>
      </x:c>
      <x:c r="B7" s="18" t="str">
        <x:v>/api/v1/cpm/loops/{id}/analysis-context?at=</x:v>
      </x:c>
      <x:c r="C7" s="18" t="str">
        <x:v>analytics.view</x:v>
      </x:c>
      <x:c r="D7" s="18" t="str">
        <x:v>As-of objectives, roles, binding, controller, acquisition, health references</x:v>
      </x:c>
      <x:c r="E7" s="18" t="str">
        <x:v>PROPOSED — extend existing cplm-api; no KPI recompute</x:v>
      </x:c>
    </x:row>
    <x:row r="8" ht="80" customHeight="1">
      <x:c r="A8" s="18" t="str">
        <x:v>POST</x:v>
      </x:c>
      <x:c r="B8" s="18" t="str">
        <x:v>/api/v1/cpm/analysis-runs</x:v>
      </x:c>
      <x:c r="C8" s="18" t="str">
        <x:v>cpm.analysis.create</x:v>
      </x:c>
      <x:c r="D8" s="18" t="str">
        <x:v>Create bounded historical or what-if run, pinned support/purpose/context; 202 run ID</x:v>
      </x:c>
      <x:c r="E8" s="18" t="str">
        <x:v>PROPOSED — extend existing cplm-api; no KPI recompute</x:v>
      </x:c>
    </x:row>
    <x:row r="9" ht="80" customHeight="1">
      <x:c r="A9" s="18" t="str">
        <x:v>GET</x:v>
      </x:c>
      <x:c r="B9" s="18" t="str">
        <x:v>/api/v1/cpm/analysis-runs/{id}</x:v>
      </x:c>
      <x:c r="C9" s="18" t="str">
        <x:v>analytics.view</x:v>
      </x:c>
      <x:c r="D9" s="18" t="str">
        <x:v>Expected/received outputs, progress, errors and versioned manifest</x:v>
      </x:c>
      <x:c r="E9" s="18" t="str">
        <x:v>PROPOSED — extend existing cplm-api; no KPI recompute</x:v>
      </x:c>
    </x:row>
    <x:row r="10" ht="80" customHeight="1">
      <x:c r="A10" s="18" t="str">
        <x:v>GET</x:v>
      </x:c>
      <x:c r="B10" s="18" t="str">
        <x:v>/api/v1/cpm/method-runs/{id}</x:v>
      </x:c>
      <x:c r="C10" s="18" t="str">
        <x:v>analytics.view</x:v>
      </x:c>
      <x:c r="D10" s="18" t="str">
        <x:v>Immutable exact gate evaluation metadata/results</x:v>
      </x:c>
      <x:c r="E10" s="18" t="str">
        <x:v>PROPOSED — extend existing cplm-api; no KPI recompute</x:v>
      </x:c>
    </x:row>
    <x:row r="11" ht="80" customHeight="1">
      <x:c r="A11" s="18" t="str">
        <x:v>GET</x:v>
      </x:c>
      <x:c r="B11" s="18" t="str">
        <x:v>/api/v1/cpm/method-runs/{id}/evidence</x:v>
      </x:c>
      <x:c r="C11" s="18" t="str">
        <x:v>analytics.view</x:v>
      </x:c>
      <x:c r="D11" s="18" t="str">
        <x:v>Evidence manifest and authorized chunk references</x:v>
      </x:c>
      <x:c r="E11" s="18" t="str">
        <x:v>PROPOSED — extend existing cplm-api; no KPI recompute</x:v>
      </x:c>
    </x:row>
    <x:row r="12" ht="80" customHeight="1">
      <x:c r="A12" s="18" t="str">
        <x:v>GET</x:v>
      </x:c>
      <x:c r="B12" s="18" t="str">
        <x:v>/api/v1/cpm/evidence/{id}/chunks/{n}</x:v>
      </x:c>
      <x:c r="C12" s="18" t="str">
        <x:v>analytics.view</x:v>
      </x:c>
      <x:c r="D12" s="18" t="str">
        <x:v>Immutable compressed numerical data; checksum/ETag</x:v>
      </x:c>
      <x:c r="E12" s="18" t="str">
        <x:v>PROPOSED — extend existing cplm-api; no KPI recompute</x:v>
      </x:c>
    </x:row>
    <x:row r="13" ht="80" customHeight="1">
      <x:c r="A13" s="18" t="str">
        <x:v>GET</x:v>
      </x:c>
      <x:c r="B13" s="18" t="str">
        <x:v>/api/v1/cpm/loops/{id}/response-events?from=&amp;to=&amp;cursor=</x:v>
      </x:c>
      <x:c r="C13" s="18" t="str">
        <x:v>analytics.view</x:v>
      </x:c>
      <x:c r="D13" s="18" t="str">
        <x:v>Versioned G12 response event list including rejected/censored</x:v>
      </x:c>
      <x:c r="E13" s="18" t="str">
        <x:v>PROPOSED — extend existing cplm-api; no KPI recompute</x:v>
      </x:c>
    </x:row>
    <x:row r="14" ht="80" customHeight="1">
      <x:c r="A14" s="18" t="str">
        <x:v>GET</x:v>
      </x:c>
      <x:c r="B14" s="18" t="str">
        <x:v>/api/v1/cpm/response-events/{id}</x:v>
      </x:c>
      <x:c r="C14" s="18" t="str">
        <x:v>analytics.view</x:v>
      </x:c>
      <x:c r="D14" s="18" t="str">
        <x:v>Specific G12 event and subgate/model results</x:v>
      </x:c>
      <x:c r="E14" s="18" t="str">
        <x:v>PROPOSED — extend existing cplm-api; no KPI recompute</x:v>
      </x:c>
    </x:row>
    <x:row r="15" ht="80" customHeight="1">
      <x:c r="A15" s="18" t="str">
        <x:v>GET</x:v>
      </x:c>
      <x:c r="B15" s="18" t="str">
        <x:v>/api/v1/cpm/loops/{id}/models?at=&amp;regime=</x:v>
      </x:c>
      <x:c r="C15" s="18" t="str">
        <x:v>analytics.view</x:v>
      </x:c>
      <x:c r="D15" s="18" t="str">
        <x:v>Applicable validated/candidate models, not most recent indiscriminately</x:v>
      </x:c>
      <x:c r="E15" s="18" t="str">
        <x:v>PROPOSED — extend existing cplm-api; no KPI recompute</x:v>
      </x:c>
    </x:row>
    <x:row r="16" ht="80" customHeight="1">
      <x:c r="A16" s="18" t="str">
        <x:v>POST</x:v>
      </x:c>
      <x:c r="B16" s="18" t="str">
        <x:v>/api/v1/cpm/models/{id}/review</x:v>
      </x:c>
      <x:c r="C16" s="18" t="str">
        <x:v>cpm.model.review</x:v>
      </x:c>
      <x:c r="D16" s="18" t="str">
        <x:v>Server-owned decision bound to model version, evidence and domain</x:v>
      </x:c>
      <x:c r="E16" s="18" t="str">
        <x:v>PROPOSED — extend existing cplm-api; no KPI recompute</x:v>
      </x:c>
    </x:row>
    <x:row r="17" ht="80" customHeight="1">
      <x:c r="A17" s="18" t="str">
        <x:v>POST</x:v>
      </x:c>
      <x:c r="B17" s="18" t="str">
        <x:v>/api/v1/cpm/loops/{id}/controller-snapshots</x:v>
      </x:c>
      <x:c r="C17" s="18" t="str">
        <x:v>cpm.context.manage</x:v>
      </x:c>
      <x:c r="D17" s="18" t="str">
        <x:v>Read/import approved native settings; no DCS write</x:v>
      </x:c>
      <x:c r="E17" s="18" t="str">
        <x:v>PROPOSED — extend existing cplm-api; no KPI recompute</x:v>
      </x:c>
    </x:row>
    <x:row r="18" ht="80" customHeight="1">
      <x:c r="A18" s="18" t="str">
        <x:v>GET</x:v>
      </x:c>
      <x:c r="B18" s="18" t="str">
        <x:v>/api/v1/cpm/loops/{id}/instrument-health?at=</x:v>
      </x:c>
      <x:c r="C18" s="18" t="str">
        <x:v>analytics.view</x:v>
      </x:c>
      <x:c r="D18" s="18" t="str">
        <x:v>Effective device and latest/as-of health with observed/verified age</x:v>
      </x:c>
      <x:c r="E18" s="18" t="str">
        <x:v>PROPOSED — extend existing cplm-api; no KPI recompute</x:v>
      </x:c>
    </x:row>
    <x:row r="19" ht="80" customHeight="1">
      <x:c r="A19" s="18" t="str">
        <x:v>GET</x:v>
      </x:c>
      <x:c r="B19" s="18" t="str">
        <x:v>/api/v1/cpm/loops/{id}/instrument-health/history?from=&amp;to=&amp;cursor=</x:v>
      </x:c>
      <x:c r="C19" s="18" t="str">
        <x:v>analytics.view</x:v>
      </x:c>
      <x:c r="D19" s="18" t="str">
        <x:v>Interval/event history including source unavailability and replacements</x:v>
      </x:c>
      <x:c r="E19" s="18" t="str">
        <x:v>PROPOSED — extend existing cplm-api; no KPI recompute</x:v>
      </x:c>
    </x:row>
    <x:row r="20" ht="80" customHeight="1">
      <x:c r="A20" s="18" t="str">
        <x:v>POST</x:v>
      </x:c>
      <x:c r="B20" s="18" t="str">
        <x:v>/api/v1/cpm/loops/{id}/instrument-bindings</x:v>
      </x:c>
      <x:c r="C20" s="18" t="str">
        <x:v>cpm.context.manage</x:v>
      </x:c>
      <x:c r="D20" s="18" t="str">
        <x:v>Approved effective-dated reference to primary device; no NAMUR-specific alias binding</x:v>
      </x:c>
      <x:c r="E20" s="18" t="str">
        <x:v>PROPOSED — extend existing cplm-api; no KPI recompute</x:v>
      </x:c>
    </x:row>
    <x:row r="21" ht="80" customHeight="1">
      <x:c r="A21" s="18" t="str">
        <x:v>GET</x:v>
      </x:c>
      <x:c r="B21" s="18" t="str">
        <x:v>/api/v1/cpm/configuration/effective?loopId=&amp;at=&amp;regime=</x:v>
      </x:c>
      <x:c r="C21" s="18" t="str">
        <x:v>cpm.config.read</x:v>
      </x:c>
      <x:c r="D21" s="18" t="str">
        <x:v>Complete resolved bundle, sources and actual worker versions</x:v>
      </x:c>
      <x:c r="E21" s="18" t="str">
        <x:v>PROPOSED — extend existing cplm-api; no KPI recompute</x:v>
      </x:c>
    </x:row>
    <x:row r="22" ht="80" customHeight="1">
      <x:c r="A22" s="18" t="str">
        <x:v>POST</x:v>
      </x:c>
      <x:c r="B22" s="18" t="str">
        <x:v>/api/v1/cpm/configuration/drafts</x:v>
      </x:c>
      <x:c r="C22" s="18" t="str">
        <x:v>cpm.config.draft</x:v>
      </x:c>
      <x:c r="D22" s="18" t="str">
        <x:v>New immutable candidate with parent version and intended scope</x:v>
      </x:c>
      <x:c r="E22" s="18" t="str">
        <x:v>PROPOSED — extend existing cplm-api; no KPI recompute</x:v>
      </x:c>
    </x:row>
    <x:row r="23" ht="80" customHeight="1">
      <x:c r="A23" s="18" t="str">
        <x:v>PATCH</x:v>
      </x:c>
      <x:c r="B23" s="18" t="str">
        <x:v>/api/v1/cpm/configuration/drafts/{id}</x:v>
      </x:c>
      <x:c r="C23" s="18" t="str">
        <x:v>cpm.config.draft</x:v>
      </x:c>
      <x:c r="D23" s="18" t="str">
        <x:v>If-Match guarded change or reset; no direct active mutation</x:v>
      </x:c>
      <x:c r="E23" s="18" t="str">
        <x:v>PROPOSED — extend existing cplm-api; no KPI recompute</x:v>
      </x:c>
    </x:row>
    <x:row r="24" ht="80" customHeight="1">
      <x:c r="A24" s="18" t="str">
        <x:v>POST</x:v>
      </x:c>
      <x:c r="B24" s="18" t="str">
        <x:v>/api/v1/cpm/configuration/drafts/{id}/validate</x:v>
      </x:c>
      <x:c r="C24" s="18" t="str">
        <x:v>cpm.config.validate</x:v>
      </x:c>
      <x:c r="D24" s="18" t="str">
        <x:v>Field/capability/cross-parameter/resource validation</x:v>
      </x:c>
      <x:c r="E24" s="18" t="str">
        <x:v>PROPOSED — extend existing cplm-api; no KPI recompute</x:v>
      </x:c>
    </x:row>
    <x:row r="25" ht="80" customHeight="1">
      <x:c r="A25" s="18" t="str">
        <x:v>POST</x:v>
      </x:c>
      <x:c r="B25" s="18" t="str">
        <x:v>/api/v1/cpm/configuration/drafts/{id}/shadow</x:v>
      </x:c>
      <x:c r="C25" s="18" t="str">
        <x:v>cpm.config.shadow</x:v>
      </x:c>
      <x:c r="D25" s="18" t="str">
        <x:v>Isolated before/after assessment with no operational actions</x:v>
      </x:c>
      <x:c r="E25" s="18" t="str">
        <x:v>PROPOSED — extend existing cplm-api; no KPI recompute</x:v>
      </x:c>
    </x:row>
    <x:row r="26" ht="80" customHeight="1">
      <x:c r="A26" s="18" t="str">
        <x:v>POST</x:v>
      </x:c>
      <x:c r="B26" s="18" t="str">
        <x:v>/api/v1/cpm/configuration/drafts/{id}/approve</x:v>
      </x:c>
      <x:c r="C26" s="18" t="str">
        <x:v>cpm.config.approve</x:v>
      </x:c>
      <x:c r="D26" s="18" t="str">
        <x:v>Independent review bound to exact content and context</x:v>
      </x:c>
      <x:c r="E26" s="18" t="str">
        <x:v>PROPOSED — extend existing cplm-api; no KPI recompute</x:v>
      </x:c>
    </x:row>
    <x:row r="27" ht="80" customHeight="1">
      <x:c r="A27" s="18" t="str">
        <x:v>POST</x:v>
      </x:c>
      <x:c r="B27" s="18" t="str">
        <x:v>/api/v1/cpm/configuration/deployments</x:v>
      </x:c>
      <x:c r="C27" s="18" t="str">
        <x:v>cpm.config.activate</x:v>
      </x:c>
      <x:c r="D27" s="18" t="str">
        <x:v>Prepare/schedule versioned bounded deployment</x:v>
      </x:c>
      <x:c r="E27" s="18" t="str">
        <x:v>PROPOSED — extend existing cplm-api; no KPI recompute</x:v>
      </x:c>
    </x:row>
    <x:row r="28" ht="80" customHeight="1">
      <x:c r="A28" s="18" t="str">
        <x:v>GET</x:v>
      </x:c>
      <x:c r="B28" s="18" t="str">
        <x:v>/api/v1/cpm/configuration/deployments/{id}</x:v>
      </x:c>
      <x:c r="C28" s="18" t="str">
        <x:v>cpm.config.read</x:v>
      </x:c>
      <x:c r="D28" s="18" t="str">
        <x:v>Required worker membership, ACKs, active/probe status</x:v>
      </x:c>
      <x:c r="E28" s="18" t="str">
        <x:v>PROPOSED — extend existing cplm-api; no KPI recompute</x:v>
      </x:c>
    </x:row>
    <x:row r="29" ht="80" customHeight="1">
      <x:c r="A29" s="18" t="str">
        <x:v>POST</x:v>
      </x:c>
      <x:c r="B29" s="18" t="str">
        <x:v>/api/v1/cpm/configuration/deployments/{id}/rollback</x:v>
      </x:c>
      <x:c r="C29" s="18" t="str">
        <x:v>cpm.config.rollback</x:v>
      </x:c>
      <x:c r="D29" s="18" t="str">
        <x:v>New versioned activation; retains all history</x:v>
      </x:c>
      <x:c r="E29" s="18" t="str">
        <x:v>PROPOSED — extend existing cplm-api; no KPI recompute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125ff50302ea410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0" hidden="0" customWidth="1"/>
    <x:col min="3" max="3" width="40" hidden="0" customWidth="1"/>
    <x:col min="4" max="4" width="40" hidden="0" customWidth="1"/>
    <x:col min="5" max="5" width="18" hidden="0" customWidth="1"/>
  </x:cols>
  <x:sheetData>
    <x:row r="1" ht="32" customHeight="1">
      <x:c r="A1" s="3" t="str">
        <x:v>SOURCE ATTRIBUTION AND REVIEW LIMITS</x:v>
      </x:c>
      <x:c r="B1" s="3"/>
      <x:c r="C1" s="3"/>
      <x:c r="D1" s="3"/>
      <x:c r="E1" s="3"/>
    </x:row>
    <x:row r="2" ht="36" customHeight="1">
      <x:c r="A2" s="7" t="str">
        <x:v>Public primary references checked 16 Sep 2026. No clause-level licensed standard audit or product certification is claimed.</x:v>
      </x:c>
      <x:c r="B2" s="7"/>
      <x:c r="C2" s="7"/>
      <x:c r="D2" s="7"/>
      <x:c r="E2" s="7"/>
    </x:row>
    <x:row r="4" ht="30" customHeight="1">
      <x:c r="A4" s="12" t="str">
        <x:v>ID</x:v>
      </x:c>
      <x:c r="B4" s="12" t="str">
        <x:v>Reference</x:v>
      </x:c>
      <x:c r="C4" s="12" t="str">
        <x:v>URL</x:v>
      </x:c>
      <x:c r="D4" s="12" t="str">
        <x:v>Scope / limits</x:v>
      </x:c>
      <x:c r="E4" s="12" t="str">
        <x:v>Checked</x:v>
      </x:c>
    </x:row>
    <x:row r="5" ht="110" customHeight="1">
      <x:c r="A5" s="18" t="str">
        <x:v>W01</x:v>
      </x:c>
      <x:c r="B5" s="18" t="str">
        <x:v>Skogestad / NTNU — Simple analytic rules for model reduction and PID controller tuning; corrections and later SIMC material</x:v>
      </x:c>
      <x:c r="C5" s="18" t="str">
        <x:v>https://skoge.folk.ntnu.no/publications/2003/tuningPID/</x:v>
      </x:c>
      <x:c r="D5" s="18" t="str">
        <x:v>Original-author source; use exact named version and corrected rules. No automatic tuning execution or universal-model guarantee inferred.</x:v>
      </x:c>
      <x:c r="E5" s="18" t="str">
        <x:v>2026-09-16</x:v>
      </x:c>
    </x:row>
    <x:row r="6" ht="110" customHeight="1">
      <x:c r="A6" s="18" t="str">
        <x:v>W02</x:v>
      </x:c>
      <x:c r="B6" s="18" t="str">
        <x:v>MathWorks — idproc: continuous-time process models</x:v>
      </x:c>
      <x:c r="C6" s="18" t="str">
        <x:v>https://www.mathworks.com/help/ident/ref/idproc.html</x:v>
      </x:c>
      <x:c r="D6" s="18" t="str">
        <x:v>Primary product documentation on gain, delay, pole time constants, integrating and underdamped structures. Does not establish validity of a CPA estimator.</x:v>
      </x:c>
      <x:c r="E6" s="18" t="str">
        <x:v>2026-09-16</x:v>
      </x:c>
    </x:row>
    <x:row r="7" ht="110" customHeight="1">
      <x:c r="A7" s="18" t="str">
        <x:v>W03</x:v>
      </x:c>
      <x:c r="B7" s="18" t="str">
        <x:v>MathWorks — stepinfo</x:v>
      </x:c>
      <x:c r="C7" s="18" t="str">
        <x:v>https://www.mathworks.com/help/control/ref/dynamicsystem.stepinfo.html</x:v>
      </x:c>
      <x:c r="D7" s="18" t="str">
        <x:v>Primary reference for defined response metrics, endpoints and settling conventions. CPA source qualification/censoring policies here are proposed design rules.</x:v>
      </x:c>
      <x:c r="E7" s="18" t="str">
        <x:v>2026-09-16</x:v>
      </x:c>
    </x:row>
    <x:row r="8" ht="110" customHeight="1">
      <x:c r="A8" s="18" t="str">
        <x:v>W04</x:v>
      </x:c>
      <x:c r="B8" s="18" t="str">
        <x:v>MathWorks — validating models after estimation</x:v>
      </x:c>
      <x:c r="C8" s="18" t="str">
        <x:v>https://www.mathworks.com/help/ident/ug/validating-models-after-estimation.html</x:v>
      </x:c>
      <x:c r="D8" s="18" t="str">
        <x:v>Primary documentation for validation workflow. CPA independent-event governance and acceptance thresholds must be commissioned.</x:v>
      </x:c>
      <x:c r="E8" s="18" t="str">
        <x:v>2026-09-16</x:v>
      </x:c>
    </x:row>
    <x:row r="9" ht="110" customHeight="1">
      <x:c r="A9" s="18" t="str">
        <x:v>W05</x:v>
      </x:c>
      <x:c r="B9" s="18" t="str">
        <x:v>Optimal instrumental variable method for closed-loop identification, DOI 10.1049/iet-cta.2009.0476</x:v>
      </x:c>
      <x:c r="C9" s="18" t="str">
        <x:v>https://hal.science/hal-00594388</x:v>
      </x:c>
      <x:c r="D9" s="18" t="str">
        <x:v>Research lineage confirmed from indexed bibliographic record; direct full-document retrieval was blocked in this review. Not claimed reproduced or independently validated here. W06/W14 support the implementation cautions.</x:v>
      </x:c>
      <x:c r="E9" s="18" t="str">
        <x:v>2026-09-16</x:v>
      </x:c>
    </x:row>
    <x:row r="10" ht="110" customHeight="1">
      <x:c r="A10" s="18" t="str">
        <x:v>W06</x:v>
      </x:c>
      <x:c r="B10" s="18" t="str">
        <x:v>MathWorks — picking instrumental variables for system identification</x:v>
      </x:c>
      <x:c r="C10" s="18" t="str">
        <x:v>https://www.mathworks.com/help/ident/ug/picking-instrumental-variables-for-system-identification.html</x:v>
      </x:c>
      <x:c r="D10" s="18" t="str">
        <x:v>Primary documentation. Instrument relevance, validity and closed-loop assumptions must still be established for each adapter/data source.</x:v>
      </x:c>
      <x:c r="E10" s="18" t="str">
        <x:v>2026-09-16</x:v>
      </x:c>
    </x:row>
    <x:row r="11" ht="110" customHeight="1">
      <x:c r="A11" s="18" t="str">
        <x:v>W07</x:v>
      </x:c>
      <x:c r="B11" s="18" t="str">
        <x:v>MathWorks — margin</x:v>
      </x:c>
      <x:c r="C11" s="18" t="str">
        <x:v>https://www.mathworks.com/help/control/ref/dynamicsystem.margin.html</x:v>
      </x:c>
      <x:c r="D11" s="18" t="str">
        <x:v>Primary documentation for gain and phase margin conventions. Model-domain estimate, not plant safety certification.</x:v>
      </x:c>
      <x:c r="E11" s="18" t="str">
        <x:v>2026-09-16</x:v>
      </x:c>
    </x:row>
    <x:row r="12" ht="110" customHeight="1">
      <x:c r="A12" s="18" t="str">
        <x:v>W08</x:v>
      </x:c>
      <x:c r="B12" s="18" t="str">
        <x:v>NAMUR NE 107 revision notice — edition 2025-07-15</x:v>
      </x:c>
      <x:c r="C12" s="18" t="str">
        <x:v>https://www.namur.net/en/publications/news-archive/ne107-self-monitoring-and-diagnostics-of-field-devices-has-been-revised.html</x:v>
      </x:c>
      <x:c r="D12" s="18" t="str">
        <x:v>Official public notice confirms F/C/S/M and diagnostics intent. Licensed full recommendation not reviewed clause-by-clause.</x:v>
      </x:c>
      <x:c r="E12" s="18" t="str">
        <x:v>2026-09-16</x:v>
      </x:c>
    </x:row>
    <x:row r="13" ht="110" customHeight="1">
      <x:c r="A13" s="18" t="str">
        <x:v>W09</x:v>
      </x:c>
      <x:c r="B13" s="18" t="str">
        <x:v>Endress+Hauser — NAMUR NE 107</x:v>
      </x:c>
      <x:c r="C13" s="18" t="str">
        <x:v>https://www.endress.com/en/support-overview/learning-center/namur-ne-107</x:v>
      </x:c>
      <x:c r="D13" s="18" t="str">
        <x:v>Manufacturer guidance on device-status meaning. Do not infer a universal single priority or replace device-specific impact with a generic score.</x:v>
      </x:c>
      <x:c r="E13" s="18" t="str">
        <x:v>2026-09-16</x:v>
      </x:c>
    </x:row>
    <x:row r="14" ht="110" customHeight="1">
      <x:c r="A14" s="18" t="str">
        <x:v>W10</x:v>
      </x:c>
      <x:c r="B14" s="18" t="str">
        <x:v>OASIS MQTT version 5.0 standard</x:v>
      </x:c>
      <x:c r="C14" s="18" t="str">
        <x:v>https://docs.oasis-open.org/mqtt/mqtt/v5.0/os/mqtt-v5.0-os.html</x:v>
      </x:c>
      <x:c r="D14" s="18" t="str">
        <x:v>Primary protocol specification; retain, QoS and expiry do not establish source measurement freshness or cross-channel exactly-once application behavior.</x:v>
      </x:c>
      <x:c r="E14" s="18" t="str">
        <x:v>2026-09-16</x:v>
      </x:c>
    </x:row>
    <x:row r="15" ht="110" customHeight="1">
      <x:c r="A15" s="18" t="str">
        <x:v>W11</x:v>
      </x:c>
      <x:c r="B15" s="18" t="str">
        <x:v>Apache Flink 1.18 — broadcast state pattern</x:v>
      </x:c>
      <x:c r="C15" s="18" t="str">
        <x:v>https://nightlies.apache.org/flink/flink-docs-release-1.18/docs/dev/datastream/fault-tolerance/broadcast_state/</x:v>
      </x:c>
      <x:c r="D15" s="18" t="str">
        <x:v>Version-matched primary documentation. Deterministic processing requirements; application-level activation/ACK protocol is proposed, not supplied by broadcast state automatically.</x:v>
      </x:c>
      <x:c r="E15" s="18" t="str">
        <x:v>2026-09-16</x:v>
      </x:c>
    </x:row>
    <x:row r="16" ht="110" customHeight="1">
      <x:c r="A16" s="18" t="str">
        <x:v>W12</x:v>
      </x:c>
      <x:c r="B16" s="18" t="str">
        <x:v>NAMUR working group 2.2 — Process Operation; NE 152 Controller Performance Management</x:v>
      </x:c>
      <x:c r="C16" s="18" t="str">
        <x:v>https://www.namur.net/en/work-areas-and-project-groups/wa-2-automation-systems-for-processes-and-plants/wg-22-process-operation.html</x:v>
      </x:c>
      <x:c r="D16" s="18" t="str">
        <x:v>Official scope reference for performance monitoring and optimization. Not a source for every specific gate formula or team response SLA.</x:v>
      </x:c>
      <x:c r="E16" s="18" t="str">
        <x:v>2026-09-16</x:v>
      </x:c>
    </x:row>
    <x:row r="17" ht="110" customHeight="1">
      <x:c r="A17" s="18" t="str">
        <x:v>W13</x:v>
      </x:c>
      <x:c r="B17" s="18" t="str">
        <x:v>IEC 61514-2:2026 — intelligent positioner performance evaluation</x:v>
      </x:c>
      <x:c r="C17" s="18" t="str">
        <x:v>https://webstore.iec.ch/en/publication/69950</x:v>
      </x:c>
      <x:c r="D17" s="18" t="str">
        <x:v>Official publication record, third edition published 2026-08-07. Public scope checked; licensed testing clauses not exhaustively reviewed; passive CPA analysis is not equivalent to a compliant test.</x:v>
      </x:c>
      <x:c r="E17" s="18" t="str">
        <x:v>2026-09-16</x:v>
      </x:c>
    </x:row>
    <x:row r="18" ht="110" customHeight="1">
      <x:c r="A18" s="18" t="str">
        <x:v>W14</x:v>
      </x:c>
      <x:c r="B18" s="18" t="str">
        <x:v>MathWorks — model quality metrics / closed-loop estimation cautions</x:v>
      </x:c>
      <x:c r="C18" s="18" t="str">
        <x:v>https://www.mathworks.com/help/ident/ug/model-quality-metrics.html</x:v>
      </x:c>
      <x:c r="D18" s="18" t="str">
        <x:v>Primary documentation distinguishing prediction/simulation focus and need for adequate noise structures when identifying feedback-stabilized plants.</x:v>
      </x:c>
      <x:c r="E18" s="18" t="str">
        <x:v>2026-09-16</x:v>
      </x:c>
    </x:row>
    <x:row r="19" ht="110" customHeight="1">
      <x:c r="A19" s="18" t="str">
        <x:v>W15</x:v>
      </x:c>
      <x:c r="B19" s="18" t="str">
        <x:v>Linkoping University — Computer exercises in system identification, closed-loop data</x:v>
      </x:c>
      <x:c r="C19" s="18" t="str">
        <x:v>https://isy.gitlab-pages.liu.se/rt/assets/TSRT92/closedloop_session.pdf</x:v>
      </x:c>
      <x:c r="D19" s="18" t="str">
        <x:v>Official university teaching material states feedback-correlation, excitation and noise-model requirements. Used for concepts; no figure/table reproduced or numerical exercise claimed executed.</x:v>
      </x:c>
      <x:c r="E19" s="18" t="str">
        <x:v>2026-09-16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8703b274dfb34133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38" hidden="0" customWidth="1"/>
    <x:col min="4" max="4" width="38" hidden="0" customWidth="1"/>
    <x:col min="5" max="5" width="32" hidden="0" customWidth="1"/>
    <x:col min="6" max="6" width="40" hidden="0" customWidth="1"/>
    <x:col min="7" max="7" width="40" hidden="0" customWidth="1"/>
    <x:col min="8" max="8" width="34" hidden="0" customWidth="1"/>
  </x:cols>
  <x:sheetData>
    <x:row r="1" ht="32" customHeight="1">
      <x:c r="A1" s="3" t="str">
        <x:v>52 RETAINED RESEARCH / CAPABILITY ENTRIES</x:v>
      </x:c>
      <x:c r="B1" s="3"/>
      <x:c r="C1" s="3"/>
      <x:c r="D1" s="3"/>
      <x:c r="E1" s="3"/>
      <x:c r="F1" s="3"/>
      <x:c r="G1" s="3"/>
      <x:c r="H1" s="3"/>
    </x:row>
    <x:row r="2" ht="36" customHeight="1">
      <x:c r="A2" s="7" t="str">
        <x:v>Copied from v5 lineage. This release does not claim every method was re-derived or executed. Read the original cautions and validate on the release commit.</x:v>
      </x:c>
      <x:c r="B2" s="7"/>
      <x:c r="C2" s="7"/>
      <x:c r="D2" s="7"/>
      <x:c r="E2" s="7"/>
      <x:c r="F2" s="7"/>
      <x:c r="G2" s="7"/>
      <x:c r="H2" s="7"/>
    </x:row>
    <x:row r="4" ht="30" customHeight="1">
      <x:c r="A4" s="12" t="str">
        <x:v>ID</x:v>
      </x:c>
      <x:c r="B4" s="12" t="str">
        <x:v>Gate</x:v>
      </x:c>
      <x:c r="C4" s="12" t="str">
        <x:v>Method / capability</x:v>
      </x:c>
      <x:c r="D4" s="12" t="str">
        <x:v>Disposition</x:v>
      </x:c>
      <x:c r="E4" s="12" t="str">
        <x:v>Earlier repository status</x:v>
      </x:c>
      <x:c r="F4" s="12" t="str">
        <x:v>Earlier evidence</x:v>
      </x:c>
      <x:c r="G4" s="12" t="str">
        <x:v>Caution</x:v>
      </x:c>
      <x:c r="H4" s="12" t="str">
        <x:v>Validation status</x:v>
      </x:c>
    </x:row>
    <x:row r="5" ht="110" customHeight="1">
      <x:c r="A5" s="18" t="str">
        <x:v>M01</x:v>
      </x:c>
      <x:c r="B5" s="18" t="str">
        <x:v>G0</x:v>
      </x:c>
      <x:c r="C5" s="18" t="str">
        <x:v>Native quality / missing / timestamp / duplicate checks</x:v>
      </x:c>
      <x:c r="D5" s="18" t="str">
        <x:v>Core requirement</x:v>
      </x:c>
      <x:c r="E5" s="18" t="str">
        <x:v>PARTIAL/DEFECTIVE</x:v>
      </x:c>
      <x:c r="F5" s="18" t="str">
        <x:v>E06 E14</x:v>
      </x:c>
      <x:c r="G5" s="18" t="str">
        <x:v>Per-signal validity; no unknown-to-GOOD substitution</x:v>
      </x:c>
      <x:c r="H5" s="18" t="str">
        <x:v>NOT VALIDATED AS A PUBLISHED METHOD BY THIS AUDIT</x:v>
      </x:c>
    </x:row>
    <x:row r="6" ht="110" customHeight="1">
      <x:c r="A6" s="18" t="str">
        <x:v>M02</x:v>
      </x:c>
      <x:c r="B6" s="18" t="str">
        <x:v>G0</x:v>
      </x:c>
      <x:c r="C6" s="18" t="str">
        <x:v>Sampling / compression / interpolation / time-average fidelity</x:v>
      </x:c>
      <x:c r="D6" s="18" t="str">
        <x:v>Core requirement strengthened by real file</x:v>
      </x:c>
      <x:c r="E6" s="18" t="str">
        <x:v>PARTIAL/DEFECTIVE</x:v>
      </x:c>
      <x:c r="F6" s="18" t="str">
        <x:v>E15 E26</x:v>
      </x:c>
      <x:c r="G6" s="18" t="str">
        <x:v>Five-second export grid is not native bandwidth</x:v>
      </x:c>
      <x:c r="H6" s="18" t="str">
        <x:v>NOT VALIDATED AS A PUBLISHED METHOD BY THIS AUDIT</x:v>
      </x:c>
    </x:row>
    <x:row r="7" ht="110" customHeight="1">
      <x:c r="A7" s="18" t="str">
        <x:v>M03</x:v>
      </x:c>
      <x:c r="B7" s="18" t="str">
        <x:v>G1</x:v>
      </x:c>
      <x:c r="C7" s="18" t="str">
        <x:v>Mode / utilization / service factor / authority</x:v>
      </x:c>
      <x:c r="D7" s="18" t="str">
        <x:v>Core requirement</x:v>
      </x:c>
      <x:c r="E7" s="18" t="str">
        <x:v>PARTIAL/DEFECTIVE</x:v>
      </x:c>
      <x:c r="F7" s="18" t="str">
        <x:v>E07 E14</x:v>
      </x:c>
      <x:c r="G7" s="18" t="str">
        <x:v>Manual affects specific paths, not all monitoring</x:v>
      </x:c>
      <x:c r="H7" s="18" t="str">
        <x:v>NOT VALIDATED AS A PUBLISHED METHOD BY THIS AUDIT</x:v>
      </x:c>
    </x:row>
    <x:row r="8" ht="110" customHeight="1">
      <x:c r="A8" s="18" t="str">
        <x:v>M04</x:v>
      </x:c>
      <x:c r="B8" s="18" t="str">
        <x:v>G2</x:v>
      </x:c>
      <x:c r="C8" s="18" t="str">
        <x:v>SP stability / noise / step / ramp / remote tracking</x:v>
      </x:c>
      <x:c r="D8" s="18" t="str">
        <x:v>Core requirement</x:v>
      </x:c>
      <x:c r="E8" s="18" t="str">
        <x:v>PARTIAL</x:v>
      </x:c>
      <x:c r="F8" s="18" t="str">
        <x:v>E07</x:v>
      </x:c>
      <x:c r="G8" s="18" t="str">
        <x:v>Use approved units/tolerances and route response type</x:v>
      </x:c>
      <x:c r="H8" s="18" t="str">
        <x:v>NOT VALIDATED AS A PUBLISHED METHOD BY THIS AUDIT</x:v>
      </x:c>
    </x:row>
    <x:row r="9" ht="110" customHeight="1">
      <x:c r="A9" s="18" t="str">
        <x:v>M05</x:v>
      </x:c>
      <x:c r="B9" s="18" t="str">
        <x:v>G2r</x:v>
      </x:c>
      <x:c r="C9" s="18" t="str">
        <x:v>Dynamic class / service objective / operating region</x:v>
      </x:c>
      <x:c r="D9" s="18" t="str">
        <x:v>Core requirement</x:v>
      </x:c>
      <x:c r="E9" s="18" t="str">
        <x:v>PARTIAL</x:v>
      </x:c>
      <x:c r="F9" s="18" t="str">
        <x:v>E05 E07 E13</x:v>
      </x:c>
      <x:c r="G9" s="18" t="str">
        <x:v>Tag prefix is a prior, not verified dynamics</x:v>
      </x:c>
      <x:c r="H9" s="18" t="str">
        <x:v>NOT VALIDATED AS A PUBLISHED METHOD BY THIS AUDIT</x:v>
      </x:c>
    </x:row>
    <x:row r="10" ht="110" customHeight="1">
      <x:c r="A10" s="18" t="str">
        <x:v>M06</x:v>
      </x:c>
      <x:c r="B10" s="18" t="str">
        <x:v>G3</x:v>
      </x:c>
      <x:c r="C10" s="18" t="str">
        <x:v>Bias / MAE / AAE / RMSE / variance / IAE / ISE</x:v>
      </x:c>
      <x:c r="D10" s="18" t="str">
        <x:v>Retain corrected time weighting</x:v>
      </x:c>
      <x:c r="E10" s="18" t="str">
        <x:v>IMPLEMENTED_WITH_LIMITATIONS</x:v>
      </x:c>
      <x:c r="F10" s="18" t="str">
        <x:v>E07</x:v>
      </x:c>
      <x:c r="G10" s="18" t="str">
        <x:v>Representations and valid time denominator explicit</x:v>
      </x:c>
      <x:c r="H10" s="18" t="str">
        <x:v>NOT VALIDATED AS A PUBLISHED METHOD BY THIS AUDIT</x:v>
      </x:c>
    </x:row>
    <x:row r="11" ht="110" customHeight="1">
      <x:c r="A11" s="18" t="str">
        <x:v>M07</x:v>
      </x:c>
      <x:c r="B11" s="18" t="str">
        <x:v>G3/G12</x:v>
      </x:c>
      <x:c r="C11" s="18" t="str">
        <x:v>ITAE / IAEsp / setpoint crossing / response error</x:v>
      </x:c>
      <x:c r="D11" s="18" t="str">
        <x:v>Retain event-aware definition</x:v>
      </x:c>
      <x:c r="E11" s="18" t="str">
        <x:v>PARTIAL</x:v>
      </x:c>
      <x:c r="F11" s="18" t="str">
        <x:v>E07 E09</x:v>
      </x:c>
      <x:c r="G11" s="18" t="str">
        <x:v>IAEsp denominator and zero-step handling must be versioned</x:v>
      </x:c>
      <x:c r="H11" s="18" t="str">
        <x:v>NOT VALIDATED AS A PUBLISHED METHOD BY THIS AUDIT</x:v>
      </x:c>
    </x:row>
    <x:row r="12" ht="110" customHeight="1">
      <x:c r="A12" s="18" t="str">
        <x:v>M08</x:v>
      </x:c>
      <x:c r="B12" s="18" t="str">
        <x:v>G3</x:v>
      </x:c>
      <x:c r="C12" s="18" t="str">
        <x:v>Harris / minimum-variance / normalized or modified indices</x:v>
      </x:c>
      <x:c r="D12" s="18" t="str">
        <x:v>Retain research; qualify benchmark</x:v>
      </x:c>
      <x:c r="E12" s="18" t="str">
        <x:v>NOT_EVIDENCED</x:v>
      </x:c>
      <x:c r="F12" s="18" t="str">
        <x:v>E07 E44</x:v>
      </x:c>
      <x:c r="G12" s="18" t="str">
        <x:v>Do not equate arbitrary AR/ARX residual ratio with Harris</x:v>
      </x:c>
      <x:c r="H12" s="18" t="str">
        <x:v>NOT VALIDATED AS A PUBLISHED METHOD BY THIS AUDIT</x:v>
      </x:c>
    </x:row>
    <x:row r="13" ht="110" customHeight="1">
      <x:c r="A13" s="18" t="str">
        <x:v>M09</x:v>
      </x:c>
      <x:c r="B13" s="18" t="str">
        <x:v>G3</x:v>
      </x:c>
      <x:c r="C13" s="18" t="str">
        <x:v>EWMA / change-point / CUSUM / degradation</x:v>
      </x:c>
      <x:c r="D13" s="18" t="str">
        <x:v>Retain baseline-aware monitoring</x:v>
      </x:c>
      <x:c r="E13" s="18" t="str">
        <x:v>NOT_EVIDENCED</x:v>
      </x:c>
      <x:c r="F13" s="18" t="str">
        <x:v>E07 E44</x:v>
      </x:c>
      <x:c r="G13" s="18" t="str">
        <x:v>Serial dependence and baseline review</x:v>
      </x:c>
      <x:c r="H13" s="18" t="str">
        <x:v>NOT VALIDATED AS A PUBLISHED METHOD BY THIS AUDIT</x:v>
      </x:c>
    </x:row>
    <x:row r="14" ht="110" customHeight="1">
      <x:c r="A14" s="18" t="str">
        <x:v>M10</x:v>
      </x:c>
      <x:c r="B14" s="18" t="str">
        <x:v>G3</x:v>
      </x:c>
      <x:c r="C14" s="18" t="str">
        <x:v>Historical / peer / achievable performance baseline</x:v>
      </x:c>
      <x:c r="D14" s="18" t="str">
        <x:v>Retain and expand dynamic comparison</x:v>
      </x:c>
      <x:c r="E14" s="18" t="str">
        <x:v>NOT_EVIDENCED</x:v>
      </x:c>
      <x:c r="F14" s="18" t="str">
        <x:v>E18 E31</x:v>
      </x:c>
      <x:c r="G14" s="18" t="str">
        <x:v>Compare objective regime source and controller versions</x:v>
      </x:c>
      <x:c r="H14" s="18" t="str">
        <x:v>NOT VALIDATED AS A PUBLISHED METHOD BY THIS AUDIT</x:v>
      </x:c>
    </x:row>
    <x:row r="15" ht="110" customHeight="1">
      <x:c r="A15" s="18" t="str">
        <x:v>M11</x:v>
      </x:c>
      <x:c r="B15" s="18" t="str">
        <x:v>G3</x:v>
      </x:c>
      <x:c r="C15" s="18" t="str">
        <x:v>OCE product and joint good-auto-unconstrained exposure</x:v>
      </x:c>
      <x:c r="D15" s="18" t="str">
        <x:v>Retain legacy; add explicit joint metric</x:v>
      </x:c>
      <x:c r="E15" s="18" t="str">
        <x:v>PARTIAL</x:v>
      </x:c>
      <x:c r="F15" s="18" t="str">
        <x:v>E07</x:v>
      </x:c>
      <x:c r="G15" s="18" t="str">
        <x:v>Product of marginals is not joint exposure</x:v>
      </x:c>
      <x:c r="H15" s="18" t="str">
        <x:v>NOT VALIDATED AS A PUBLISHED METHOD BY THIS AUDIT</x:v>
      </x:c>
    </x:row>
    <x:row r="16" ht="110" customHeight="1">
      <x:c r="A16" s="18" t="str">
        <x:v>M12</x:v>
      </x:c>
      <x:c r="B16" s="18" t="str">
        <x:v>G4</x:v>
      </x:c>
      <x:c r="C16" s="18" t="str">
        <x:v>Effort standard deviations and normalized effort</x:v>
      </x:c>
      <x:c r="D16" s="18" t="str">
        <x:v>Correct units; demote cause claim</x:v>
      </x:c>
      <x:c r="E16" s="18" t="str">
        <x:v>DEFECTIVE</x:v>
      </x:c>
      <x:c r="F16" s="18" t="str">
        <x:v>E07</x:v>
      </x:c>
      <x:c r="G16" s="18" t="str">
        <x:v>Dimensionless ratio still not friction proof</x:v>
      </x:c>
      <x:c r="H16" s="18" t="str">
        <x:v>NOT VALIDATED AS A PUBLISHED METHOD BY THIS AUDIT</x:v>
      </x:c>
    </x:row>
    <x:row r="17" ht="110" customHeight="1">
      <x:c r="A17" s="18" t="str">
        <x:v>M13</x:v>
      </x:c>
      <x:c r="B17" s="18" t="str">
        <x:v>G4/G10</x:v>
      </x:c>
      <x:c r="C17" s="18" t="str">
        <x:v>OP travel / total variation / reversals / valve travel index</x:v>
      </x:c>
      <x:c r="D17" s="18" t="str">
        <x:v>Separate command from actual movement</x:v>
      </x:c>
      <x:c r="E17" s="18" t="str">
        <x:v>PARTIAL</x:v>
      </x:c>
      <x:c r="F17" s="18" t="str">
        <x:v>E07 E08</x:v>
      </x:c>
      <x:c r="G17" s="18" t="str">
        <x:v>Physical travel requires VP; noise/resolution and exposure defined</x:v>
      </x:c>
      <x:c r="H17" s="18" t="str">
        <x:v>NOT VALIDATED AS A PUBLISHED METHOD BY THIS AUDIT</x:v>
      </x:c>
    </x:row>
    <x:row r="18" ht="110" customHeight="1">
      <x:c r="A18" s="18" t="str">
        <x:v>M14</x:v>
      </x:c>
      <x:c r="B18" s="18" t="str">
        <x:v>G5</x:v>
      </x:c>
      <x:c r="C18" s="18" t="str">
        <x:v>ACF periods / regularity / multiple oscillations</x:v>
      </x:c>
      <x:c r="D18" s="18" t="str">
        <x:v>Retain published adapter and descriptive screen</x:v>
      </x:c>
      <x:c r="E18" s="18" t="str">
        <x:v>IMPLEMENTED_WITH_LIMITATIONS</x:v>
      </x:c>
      <x:c r="F18" s="18" t="str">
        <x:v>E08 E03</x:v>
      </x:c>
      <x:c r="G18" s="18" t="str">
        <x:v>Original detector not reproduced by any positive local maximum</x:v>
      </x:c>
      <x:c r="H18" s="18" t="str">
        <x:v>NOT VALIDATED AS A PUBLISHED METHOD BY THIS AUDIT</x:v>
      </x:c>
    </x:row>
    <x:row r="19" ht="110" customHeight="1">
      <x:c r="A19" s="18" t="str">
        <x:v>M15</x:v>
      </x:c>
      <x:c r="B19" s="18" t="str">
        <x:v>G5</x:v>
      </x:c>
      <x:c r="C19" s="18" t="str">
        <x:v>Error zero crossings / Hägglund area between crossings</x:v>
      </x:c>
      <x:c r="D19" s="18" t="str">
        <x:v>Retain adapter</x:v>
      </x:c>
      <x:c r="E19" s="18" t="str">
        <x:v>NOT_EVIDENCED</x:v>
      </x:c>
      <x:c r="F19" s="18" t="str">
        <x:v>E08</x:v>
      </x:c>
      <x:c r="G19" s="18" t="str">
        <x:v>Hysteresis, valid cycles and original thresholds needed</x:v>
      </x:c>
      <x:c r="H19" s="18" t="str">
        <x:v>NOT VALIDATED AS A PUBLISHED METHOD BY THIS AUDIT</x:v>
      </x:c>
    </x:row>
    <x:row r="20" ht="110" customHeight="1">
      <x:c r="A20" s="18" t="str">
        <x:v>M16</x:v>
      </x:c>
      <x:c r="B20" s="18" t="str">
        <x:v>G5</x:v>
      </x:c>
      <x:c r="C20" s="18" t="str">
        <x:v>HCI / R / T_osc named fields</x:v>
      </x:c>
      <x:c r="D20" s="18" t="str">
        <x:v>Retain only with exact definitions</x:v>
      </x:c>
      <x:c r="E20" s="18" t="str">
        <x:v>DEFINITION_PENDING</x:v>
      </x:c>
      <x:c r="F20" s="18" t="str">
        <x:v>E44</x:v>
      </x:c>
      <x:c r="G20" s="18" t="str">
        <x:v>Disambiguate regularity R, area ratio R and other variants</x:v>
      </x:c>
      <x:c r="H20" s="18" t="str">
        <x:v>NOT VALIDATED AS A PUBLISHED METHOD BY THIS AUDIT</x:v>
      </x:c>
    </x:row>
    <x:row r="21" ht="110" customHeight="1">
      <x:c r="A21" s="18" t="str">
        <x:v>M17</x:v>
      </x:c>
      <x:c r="B21" s="18" t="str">
        <x:v>G6</x:v>
      </x:c>
      <x:c r="C21" s="18" t="str">
        <x:v>FFT / PSD / harmonic amplitude and energy ratios</x:v>
      </x:c>
      <x:c r="D21" s="18" t="str">
        <x:v>Retain explicit estimator variants</x:v>
      </x:c>
      <x:c r="E21" s="18" t="str">
        <x:v>IMPLEMENTED_WITH_LIMITATIONS</x:v>
      </x:c>
      <x:c r="F21" s="18" t="str">
        <x:v>E08</x:v>
      </x:c>
      <x:c r="G21" s="18" t="str">
        <x:v>No unqualified physical localization from harmonics</x:v>
      </x:c>
      <x:c r="H21" s="18" t="str">
        <x:v>NOT VALIDATED AS A PUBLISHED METHOD BY THIS AUDIT</x:v>
      </x:c>
    </x:row>
    <x:row r="22" ht="110" customHeight="1">
      <x:c r="A22" s="18" t="str">
        <x:v>M18</x:v>
      </x:c>
      <x:c r="B22" s="18" t="str">
        <x:v>G6</x:v>
      </x:c>
      <x:c r="C22" s="18" t="str">
        <x:v>Spectral entropy / multiband / time-frequency evidence</x:v>
      </x:c>
      <x:c r="D22" s="18" t="str">
        <x:v>Retain research</x:v>
      </x:c>
      <x:c r="E22" s="18" t="str">
        <x:v>PARTIAL</x:v>
      </x:c>
      <x:c r="F22" s="18" t="str">
        <x:v>E08</x:v>
      </x:c>
      <x:c r="G22" s="18" t="str">
        <x:v>Usable bandwidth and candidate period support</x:v>
      </x:c>
      <x:c r="H22" s="18" t="str">
        <x:v>NOT VALIDATED AS A PUBLISHED METHOD BY THIS AUDIT</x:v>
      </x:c>
    </x:row>
    <x:row r="23" ht="110" customHeight="1">
      <x:c r="A23" s="18" t="str">
        <x:v>M19</x:v>
      </x:c>
      <x:c r="B23" s="18" t="str">
        <x:v>G7</x:v>
      </x:c>
      <x:c r="C23" s="18" t="str">
        <x:v>He curve-fit SI / first-integrating-component selection</x:v>
      </x:c>
      <x:c r="D23" s="18" t="str">
        <x:v>Retain exact published adapter</x:v>
      </x:c>
      <x:c r="E23" s="18" t="str">
        <x:v>PARTIAL</x:v>
      </x:c>
      <x:c r="F23" s="18" t="str">
        <x:v>E05 E08</x:v>
      </x:c>
      <x:c r="G23" s="18" t="str">
        <x:v>Do not rename a slope score as published SI</x:v>
      </x:c>
      <x:c r="H23" s="18" t="str">
        <x:v>NOT VALIDATED AS A PUBLISHED METHOD BY THIS AUDIT</x:v>
      </x:c>
    </x:row>
    <x:row r="24" ht="110" customHeight="1">
      <x:c r="A24" s="18" t="str">
        <x:v>M20</x:v>
      </x:c>
      <x:c r="B24" s="18" t="str">
        <x:v>G7</x:v>
      </x:c>
      <x:c r="C24" s="18" t="str">
        <x:v>Proposed amplitude-normalized half-cycle comparator</x:v>
      </x:c>
      <x:c r="D24" s="18" t="str">
        <x:v>New explicitly named comparator</x:v>
      </x:c>
      <x:c r="E24" s="18" t="str">
        <x:v>NOT_EVIDENCED</x:v>
      </x:c>
      <x:c r="F24" s="18" t="str">
        <x:v>E08</x:v>
      </x:c>
      <x:c r="G24" s="18" t="str">
        <x:v>Absolute fit plus contrast; false-positive controls required</x:v>
      </x:c>
      <x:c r="H24" s="18" t="str">
        <x:v>NOT VALIDATED AS A PUBLISHED METHOD BY THIS AUDIT</x:v>
      </x:c>
    </x:row>
    <x:row r="25" ht="110" customHeight="1">
      <x:c r="A25" s="18" t="str">
        <x:v>M21</x:v>
      </x:c>
      <x:c r="B25" s="18" t="str">
        <x:v>G8</x:v>
      </x:c>
      <x:c r="C25" s="18" t="str">
        <x:v>Horch correlation classifier / integrating extension</x:v>
      </x:c>
      <x:c r="D25" s="18" t="str">
        <x:v>Retain true methods; rename legacy statistic</x:v>
      </x:c>
      <x:c r="E25" s="18" t="str">
        <x:v>LEGACY_PROXY_DEFECTIVE</x:v>
      </x:c>
      <x:c r="F25" s="18" t="str">
        <x:v>E08</x:v>
      </x:c>
      <x:c r="G25" s="18" t="str">
        <x:v>Linear phase can make legacy asymmetry near one</x:v>
      </x:c>
      <x:c r="H25" s="18" t="str">
        <x:v>NOT VALIDATED AS A PUBLISHED METHOD BY THIS AUDIT</x:v>
      </x:c>
    </x:row>
    <x:row r="26" ht="110" customHeight="1">
      <x:c r="A26" s="18" t="str">
        <x:v>M22</x:v>
      </x:c>
      <x:c r="B26" s="18" t="str">
        <x:v>G8</x:v>
      </x:c>
      <x:c r="C26" s="18" t="str">
        <x:v>Choudhury HOS / NGI / NLI / bicoherence</x:v>
      </x:c>
      <x:c r="D26" s="18" t="str">
        <x:v>Retain statistical research adapter</x:v>
      </x:c>
      <x:c r="E26" s="18" t="str">
        <x:v>NOT_EVIDENCED</x:v>
      </x:c>
      <x:c r="F26" s="18" t="str">
        <x:v>E08</x:v>
      </x:c>
      <x:c r="G26" s="18" t="str">
        <x:v>Segment estimator; symmetric blind spots; no valve-only causality</x:v>
      </x:c>
      <x:c r="H26" s="18" t="str">
        <x:v>NOT VALIDATED AS A PUBLISHED METHOD BY THIS AUDIT</x:v>
      </x:c>
    </x:row>
    <x:row r="27" ht="110" customHeight="1">
      <x:c r="A27" s="18" t="str">
        <x:v>M23</x:v>
      </x:c>
      <x:c r="B27" s="18" t="str">
        <x:v>G8</x:v>
      </x:c>
      <x:c r="C27" s="18" t="str">
        <x:v>Surrogate-data nonlinearity / model residual tests</x:v>
      </x:c>
      <x:c r="D27" s="18" t="str">
        <x:v>Retain as gated research</x:v>
      </x:c>
      <x:c r="E27" s="18" t="str">
        <x:v>NOT_EVIDENCED</x:v>
      </x:c>
      <x:c r="F27" s="18" t="str">
        <x:v>E08</x:v>
      </x:c>
      <x:c r="G27" s="18" t="str">
        <x:v>Specify null, significance, stationarity and multiplicity</x:v>
      </x:c>
      <x:c r="H27" s="18" t="str">
        <x:v>NOT VALIDATED AS A PUBLISHED METHOD BY THIS AUDIT</x:v>
      </x:c>
    </x:row>
    <x:row r="28" ht="110" customHeight="1">
      <x:c r="A28" s="18" t="str">
        <x:v>M24</x:v>
      </x:c>
      <x:c r="B28" s="18" t="str">
        <x:v>G9</x:v>
      </x:c>
      <x:c r="C28" s="18" t="str">
        <x:v>Phase plane / cycle area / corner / winding</x:v>
      </x:c>
      <x:c r="D28" s="18" t="str">
        <x:v>Retain supporting observations</x:v>
      </x:c>
      <x:c r="E28" s="18" t="str">
        <x:v>IMPLEMENTED_WITH_LIMITATIONS</x:v>
      </x:c>
      <x:c r="F28" s="18" t="str">
        <x:v>E05 E08 E10</x:v>
      </x:c>
      <x:c r="G28" s="18" t="str">
        <x:v>Geometry never independently confirms stiction</x:v>
      </x:c>
      <x:c r="H28" s="18" t="str">
        <x:v>NOT VALIDATED AS A PUBLISHED METHOD BY THIS AUDIT</x:v>
      </x:c>
    </x:row>
    <x:row r="29" ht="110" customHeight="1">
      <x:c r="A29" s="18" t="str">
        <x:v>M25</x:v>
      </x:c>
      <x:c r="B29" s="18" t="str">
        <x:v>G9</x:v>
      </x:c>
      <x:c r="C29" s="18" t="str">
        <x:v>Ellipse / diamond / parallelogram fit</x:v>
      </x:c>
      <x:c r="D29" s="18" t="str">
        <x:v>Retain model-qualified evidence</x:v>
      </x:c>
      <x:c r="E29" s="18" t="str">
        <x:v>NOT_EVIDENCED</x:v>
      </x:c>
      <x:c r="F29" s="18" t="str">
        <x:v>E08</x:v>
      </x:c>
      <x:c r="G29" s="18" t="str">
        <x:v>Fit residual is not calibrated friction parameter</x:v>
      </x:c>
      <x:c r="H29" s="18" t="str">
        <x:v>NOT VALIDATED AS A PUBLISHED METHOD BY THIS AUDIT</x:v>
      </x:c>
    </x:row>
    <x:row r="30" ht="110" customHeight="1">
      <x:c r="A30" s="18" t="str">
        <x:v>M26</x:v>
      </x:c>
      <x:c r="B30" s="18" t="str">
        <x:v>G9</x:v>
      </x:c>
      <x:c r="C30" s="18" t="str">
        <x:v>Singhal–Salsbury area-peak method</x:v>
      </x:c>
      <x:c r="D30" s="18" t="str">
        <x:v>Retain named adapter</x:v>
      </x:c>
      <x:c r="E30" s="18" t="str">
        <x:v>NOT_EVIDENCED</x:v>
      </x:c>
      <x:c r="F30" s="18" t="str">
        <x:v>E08</x:v>
      </x:c>
      <x:c r="G30" s="18" t="str">
        <x:v>Do not substitute whole-window shoelace area</x:v>
      </x:c>
      <x:c r="H30" s="18" t="str">
        <x:v>NOT VALIDATED AS A PUBLISHED METHOD BY THIS AUDIT</x:v>
      </x:c>
    </x:row>
    <x:row r="31" ht="110" customHeight="1">
      <x:c r="A31" s="18" t="str">
        <x:v>M27</x:v>
      </x:c>
      <x:c r="B31" s="18" t="str">
        <x:v>G7/G9</x:v>
      </x:c>
      <x:c r="C31" s="18" t="str">
        <x:v>Rossi–Scali relay-based detection comparison</x:v>
      </x:c>
      <x:c r="D31" s="18" t="str">
        <x:v>Retain named adapter</x:v>
      </x:c>
      <x:c r="E31" s="18" t="str">
        <x:v>NOT_EVIDENCED</x:v>
      </x:c>
      <x:c r="F31" s="18" t="str">
        <x:v>E08</x:v>
      </x:c>
      <x:c r="G31" s="18" t="str">
        <x:v>Distinguish passive classifier from an intrusive relay test</x:v>
      </x:c>
      <x:c r="H31" s="18" t="str">
        <x:v>NOT VALIDATED AS A PUBLISHED METHOD BY THIS AUDIT</x:v>
      </x:c>
    </x:row>
    <x:row r="32" ht="110" customHeight="1">
      <x:c r="A32" s="18" t="str">
        <x:v>M28</x:v>
      </x:c>
      <x:c r="B32" s="18" t="str">
        <x:v>G7/G9</x:v>
      </x:c>
      <x:c r="C32" s="18" t="str">
        <x:v>Srinivasan / pattern recognition / qualitative shapes</x:v>
      </x:c>
      <x:c r="D32" s="18" t="str">
        <x:v>Retain named adapter</x:v>
      </x:c>
      <x:c r="E32" s="18" t="str">
        <x:v>PARTIAL</x:v>
      </x:c>
      <x:c r="F32" s="18" t="str">
        <x:v>E08</x:v>
      </x:c>
      <x:c r="G32" s="18" t="str">
        <x:v>No inference of universal independent vote</x:v>
      </x:c>
      <x:c r="H32" s="18" t="str">
        <x:v>NOT VALIDATED AS A PUBLISHED METHOD BY THIS AUDIT</x:v>
      </x:c>
    </x:row>
    <x:row r="33" ht="110" customHeight="1">
      <x:c r="A33" s="18" t="str">
        <x:v>M29</x:v>
      </x:c>
      <x:c r="B33" s="18" t="str">
        <x:v>G7/G9</x:v>
      </x:c>
      <x:c r="C33" s="18" t="str">
        <x:v>DTW / shape PCA / pattern matching</x:v>
      </x:c>
      <x:c r="D33" s="18" t="str">
        <x:v>Retain challenger/contextual methods</x:v>
      </x:c>
      <x:c r="E33" s="18" t="str">
        <x:v>NOT_EVIDENCED</x:v>
      </x:c>
      <x:c r="F33" s="18" t="str">
        <x:v>E08</x:v>
      </x:c>
      <x:c r="G33" s="18" t="str">
        <x:v>Alignment/warping must not erase causal timing</x:v>
      </x:c>
      <x:c r="H33" s="18" t="str">
        <x:v>NOT VALIDATED AS A PUBLISHED METHOD BY THIS AUDIT</x:v>
      </x:c>
    </x:row>
    <x:row r="34" ht="110" customHeight="1">
      <x:c r="A34" s="18" t="str">
        <x:v>M30</x:v>
      </x:c>
      <x:c r="B34" s="18" t="str">
        <x:v>G10</x:v>
      </x:c>
      <x:c r="C34" s="18" t="str">
        <x:v>Kano / Yamashita / Choudhury valve models</x:v>
      </x:c>
      <x:c r="D34" s="18" t="str">
        <x:v>Retain model/detector research</x:v>
      </x:c>
      <x:c r="E34" s="18" t="str">
        <x:v>NOT_EVIDENCED</x:v>
      </x:c>
      <x:c r="F34" s="18" t="str">
        <x:v>E08 E09</x:v>
      </x:c>
      <x:c r="G34" s="18" t="str">
        <x:v>Separate simulation ground truth from plant findings</x:v>
      </x:c>
      <x:c r="H34" s="18" t="str">
        <x:v>NOT VALIDATED AS A PUBLISHED METHOD BY THIS AUDIT</x:v>
      </x:c>
    </x:row>
    <x:row r="35" ht="110" customHeight="1">
      <x:c r="A35" s="18" t="str">
        <x:v>M31</x:v>
      </x:c>
      <x:c r="B35" s="18" t="str">
        <x:v>G10/G12</x:v>
      </x:c>
      <x:c r="C35" s="18" t="str">
        <x:v>Hammerstein HAMM2/HAMM3 / stiction quantification</x:v>
      </x:c>
      <x:c r="D35" s="18" t="str">
        <x:v>Retain research; require identifiability</x:v>
      </x:c>
      <x:c r="E35" s="18" t="str">
        <x:v>NOT_EVIDENCED</x:v>
      </x:c>
      <x:c r="F35" s="18" t="str">
        <x:v>E09</x:v>
      </x:c>
      <x:c r="G35" s="18" t="str">
        <x:v>Separate band estimates, confidence and competing nonlinearities</x:v>
      </x:c>
      <x:c r="H35" s="18" t="str">
        <x:v>NOT VALIDATED AS A PUBLISHED METHOD BY THIS AUDIT</x:v>
      </x:c>
    </x:row>
    <x:row r="36" ht="110" customHeight="1">
      <x:c r="A36" s="18" t="str">
        <x:v>M32</x:v>
      </x:c>
      <x:c r="B36" s="18" t="str">
        <x:v>G10</x:v>
      </x:c>
      <x:c r="C36" s="18" t="str">
        <x:v>Actual output saturation / dwell / cycling</x:v>
      </x:c>
      <x:c r="D36" s="18" t="str">
        <x:v>Correct active limits and seconds</x:v>
      </x:c>
      <x:c r="E36" s="18" t="str">
        <x:v>PARTIAL/DEFECTIVE</x:v>
      </x:c>
      <x:c r="F36" s="18" t="str">
        <x:v>E08</x:v>
      </x:c>
      <x:c r="G36" s="18" t="str">
        <x:v>Saturation is not itself windup</x:v>
      </x:c>
      <x:c r="H36" s="18" t="str">
        <x:v>NOT VALIDATED AS A PUBLISHED METHOD BY THIS AUDIT</x:v>
      </x:c>
    </x:row>
    <x:row r="37" ht="110" customHeight="1">
      <x:c r="A37" s="18" t="str">
        <x:v>M33</x:v>
      </x:c>
      <x:c r="B37" s="18" t="str">
        <x:v>G10</x:v>
      </x:c>
      <x:c r="C37" s="18" t="str">
        <x:v>Integral windup / reset / recovery</x:v>
      </x:c>
      <x:c r="D37" s="18" t="str">
        <x:v>Retain actual controller evidence</x:v>
      </x:c>
      <x:c r="E37" s="18" t="str">
        <x:v>NOT_EVIDENCED</x:v>
      </x:c>
      <x:c r="F37" s="18" t="str">
        <x:v>E08 E09</x:v>
      </x:c>
      <x:c r="G37" s="18" t="str">
        <x:v>Requested versus applied and integrator/reset state</x:v>
      </x:c>
      <x:c r="H37" s="18" t="str">
        <x:v>NOT VALIDATED AS A PUBLISHED METHOD BY THIS AUDIT</x:v>
      </x:c>
    </x:row>
    <x:row r="38" ht="110" customHeight="1">
      <x:c r="A38" s="18" t="str">
        <x:v>M34</x:v>
      </x:c>
      <x:c r="B38" s="18" t="str">
        <x:v>G10/G14</x:v>
      </x:c>
      <x:c r="C38" s="18" t="str">
        <x:v>VP non-following / stick-release / deadband / hysteresis</x:v>
      </x:c>
      <x:c r="D38" s="18" t="str">
        <x:v>Core physical evidence path</x:v>
      </x:c>
      <x:c r="E38" s="18" t="str">
        <x:v>NOT_EVIDENCED</x:v>
      </x:c>
      <x:c r="F38" s="18" t="str">
        <x:v>E09 E15</x:v>
      </x:c>
      <x:c r="G38" s="18" t="str">
        <x:v>Dynamic expectations, resolution, mapping and pneumatic alternatives</x:v>
      </x:c>
      <x:c r="H38" s="18" t="str">
        <x:v>NOT VALIDATED AS A PUBLISHED METHOD BY THIS AUDIT</x:v>
      </x:c>
    </x:row>
    <x:row r="39" ht="110" customHeight="1">
      <x:c r="A39" s="18" t="str">
        <x:v>M35</x:v>
      </x:c>
      <x:c r="B39" s="18" t="str">
        <x:v>G10/G14</x:v>
      </x:c>
      <x:c r="C39" s="18" t="str">
        <x:v>Air supply / I-P / positioner / HART diagnostics</x:v>
      </x:c>
      <x:c r="D39" s="18" t="str">
        <x:v>Core optional evidence path</x:v>
      </x:c>
      <x:c r="E39" s="18" t="str">
        <x:v>NOT_EVIDENCED</x:v>
      </x:c>
      <x:c r="F39" s="18" t="str">
        <x:v>E09 E30</x:v>
      </x:c>
      <x:c r="G39" s="18" t="str">
        <x:v>General device health status is not stiction confirmation</x:v>
      </x:c>
      <x:c r="H39" s="18" t="str">
        <x:v>NOT VALIDATED AS A PUBLISHED METHOD BY THIS AUDIT</x:v>
      </x:c>
    </x:row>
    <x:row r="40" ht="110" customHeight="1">
      <x:c r="A40" s="18" t="str">
        <x:v>M36</x:v>
      </x:c>
      <x:c r="B40" s="18" t="str">
        <x:v>G10</x:v>
      </x:c>
      <x:c r="C40" s="18" t="str">
        <x:v>Leakage / sizing / capacity / cavitation / installed gain</x:v>
      </x:c>
      <x:c r="D40" s="18" t="str">
        <x:v>Retain service-specific scope</x:v>
      </x:c>
      <x:c r="E40" s="18" t="str">
        <x:v>NOT_EVIDENCED</x:v>
      </x:c>
      <x:c r="F40" s="18" t="str">
        <x:v>E09</x:v>
      </x:c>
      <x:c r="G40" s="18" t="str">
        <x:v>Healthy VP does not exclude seat or flow-effectiveness issues</x:v>
      </x:c>
      <x:c r="H40" s="18" t="str">
        <x:v>NOT VALIDATED AS A PUBLISHED METHOD BY THIS AUDIT</x:v>
      </x:c>
    </x:row>
    <x:row r="41" ht="110" customHeight="1">
      <x:c r="A41" s="18" t="str">
        <x:v>M37</x:v>
      </x:c>
      <x:c r="B41" s="18" t="str">
        <x:v>G11</x:v>
      </x:c>
      <x:c r="C41" s="18" t="str">
        <x:v>Freeze / stale source / quantization / noise / spikes</x:v>
      </x:c>
      <x:c r="D41" s="18" t="str">
        <x:v>Retain full sensor scope</x:v>
      </x:c>
      <x:c r="E41" s="18" t="str">
        <x:v>PARTIAL/DEFECTIVE</x:v>
      </x:c>
      <x:c r="F41" s="18" t="str">
        <x:v>E08 E15</x:v>
      </x:c>
      <x:c r="G41" s="18" t="str">
        <x:v>Unchanged history alone is not sensor failure</x:v>
      </x:c>
      <x:c r="H41" s="18" t="str">
        <x:v>NOT VALIDATED AS A PUBLISHED METHOD BY THIS AUDIT</x:v>
      </x:c>
    </x:row>
    <x:row r="42" ht="110" customHeight="1">
      <x:c r="A42" s="18" t="str">
        <x:v>M38</x:v>
      </x:c>
      <x:c r="B42" s="18" t="str">
        <x:v>G11</x:v>
      </x:c>
      <x:c r="C42" s="18" t="str">
        <x:v>Bias / drift / delay / redundant PV consistency</x:v>
      </x:c>
      <x:c r="D42" s="18" t="str">
        <x:v>Retain observability-qualified scope</x:v>
      </x:c>
      <x:c r="E42" s="18" t="str">
        <x:v>PARTIAL</x:v>
      </x:c>
      <x:c r="F42" s="18" t="str">
        <x:v>E08</x:v>
      </x:c>
      <x:c r="G42" s="18" t="str">
        <x:v>Require trusted reference/model; trend slope is not sensor drift</x:v>
      </x:c>
      <x:c r="H42" s="18" t="str">
        <x:v>NOT VALIDATED AS A PUBLISHED METHOD BY THIS AUDIT</x:v>
      </x:c>
    </x:row>
    <x:row r="43" ht="110" customHeight="1">
      <x:c r="A43" s="18" t="str">
        <x:v>M39</x:v>
      </x:c>
      <x:c r="B43" s="18" t="str">
        <x:v>G12</x:v>
      </x:c>
      <x:c r="C43" s="18" t="str">
        <x:v>PID action / form / gain-reset units / filters / scan</x:v>
      </x:c>
      <x:c r="D43" s="18" t="str">
        <x:v>Core controller configuration scope</x:v>
      </x:c>
      <x:c r="E43" s="18" t="str">
        <x:v>PARTIAL</x:v>
      </x:c>
      <x:c r="F43" s="18" t="str">
        <x:v>E15 E30</x:v>
      </x:c>
      <x:c r="G43" s="18" t="str">
        <x:v>No unsafe action inference from raw closed-loop correlation</x:v>
      </x:c>
      <x:c r="H43" s="18" t="str">
        <x:v>NOT VALIDATED AS A PUBLISHED METHOD BY THIS AUDIT</x:v>
      </x:c>
    </x:row>
    <x:row r="44" ht="110" customHeight="1">
      <x:c r="A44" s="18" t="str">
        <x:v>M40</x:v>
      </x:c>
      <x:c r="B44" s="18" t="str">
        <x:v>G12</x:v>
      </x:c>
      <x:c r="C44" s="18" t="str">
        <x:v>FOPDT / IPDT / ARX and closed-loop identification</x:v>
      </x:c>
      <x:c r="D44" s="18" t="str">
        <x:v>Retain model variants</x:v>
      </x:c>
      <x:c r="E44" s="18" t="str">
        <x:v>NOT_EVIDENCED</x:v>
      </x:c>
      <x:c r="F44" s="18" t="str">
        <x:v>E09</x:v>
      </x:c>
      <x:c r="G44" s="18" t="str">
        <x:v>Validation, bias, physical delay, uncertainty and excitation</x:v>
      </x:c>
      <x:c r="H44" s="18" t="str">
        <x:v>NOT VALIDATED AS A PUBLISHED METHOD BY THIS AUDIT</x:v>
      </x:c>
    </x:row>
    <x:row r="45" ht="110" customHeight="1">
      <x:c r="A45" s="18" t="str">
        <x:v>M41</x:v>
      </x:c>
      <x:c r="B45" s="18" t="str">
        <x:v>G12</x:v>
      </x:c>
      <x:c r="C45" s="18" t="str">
        <x:v>Overshoot / rise / settling / decay / servo and load response</x:v>
      </x:c>
      <x:c r="D45" s="18" t="str">
        <x:v>Replace hasStepTest placeholder with analysis</x:v>
      </x:c>
      <x:c r="E45" s="18" t="str">
        <x:v>NOT_EVIDENCED</x:v>
      </x:c>
      <x:c r="F45" s="18" t="str">
        <x:v>E09</x:v>
      </x:c>
      <x:c r="G45" s="18" t="str">
        <x:v>Open-loop process model is not SP-to-PV closed-loop model</x:v>
      </x:c>
      <x:c r="H45" s="18" t="str">
        <x:v>NOT VALIDATED AS A PUBLISHED METHOD BY THIS AUDIT</x:v>
      </x:c>
    </x:row>
    <x:row r="46" ht="110" customHeight="1">
      <x:c r="A46" s="18" t="str">
        <x:v>M42</x:v>
      </x:c>
      <x:c r="B46" s="18" t="str">
        <x:v>G12</x:v>
      </x:c>
      <x:c r="C46" s="18" t="str">
        <x:v>IMC / lambda / SIMC; historical Z-N comparisons</x:v>
      </x:c>
      <x:c r="D46" s="18" t="str">
        <x:v>Retain model-based recommendation adapters</x:v>
      </x:c>
      <x:c r="E46" s="18" t="str">
        <x:v>NOT_EVIDENCED</x:v>
      </x:c>
      <x:c r="F46" s="18" t="str">
        <x:v>E09</x:v>
      </x:c>
      <x:c r="G46" s="18" t="str">
        <x:v>PID form/units/robustness; authorized write-back only</x:v>
      </x:c>
      <x:c r="H46" s="18" t="str">
        <x:v>NOT VALIDATED AS A PUBLISHED METHOD BY THIS AUDIT</x:v>
      </x:c>
    </x:row>
    <x:row r="47" ht="110" customHeight="1">
      <x:c r="A47" s="18" t="str">
        <x:v>M43</x:v>
      </x:c>
      <x:c r="B47" s="18" t="str">
        <x:v>G1/G12</x:v>
      </x:c>
      <x:c r="C47" s="18" t="str">
        <x:v>Cascade / split range / override / feedforward / ratio</x:v>
      </x:c>
      <x:c r="D47" s="18" t="str">
        <x:v>Core architecture scope</x:v>
      </x:c>
      <x:c r="E47" s="18" t="str">
        <x:v>PARTIAL</x:v>
      </x:c>
      <x:c r="F47" s="18" t="str">
        <x:v>E14 E28 E30</x:v>
      </x:c>
      <x:c r="G47" s="18" t="str">
        <x:v>Resolve control layer and actual selected actuator demand</x:v>
      </x:c>
      <x:c r="H47" s="18" t="str">
        <x:v>NOT VALIDATED AS A PUBLISHED METHOD BY THIS AUDIT</x:v>
      </x:c>
    </x:row>
    <x:row r="48" ht="110" customHeight="1">
      <x:c r="A48" s="18" t="str">
        <x:v>M44</x:v>
      </x:c>
      <x:c r="B48" s="18" t="str">
        <x:v>G13</x:v>
      </x:c>
      <x:c r="C48" s="18" t="str">
        <x:v>Cross-correlation / coherence / common frequency / peers</x:v>
      </x:c>
      <x:c r="D48" s="18" t="str">
        <x:v>Replace link-only heuristic with signal evidence</x:v>
      </x:c>
      <x:c r="E48" s="18" t="str">
        <x:v>NOT_EVIDENCED</x:v>
      </x:c>
      <x:c r="F48" s="18" t="str">
        <x:v>E09 E30</x:v>
      </x:c>
      <x:c r="G48" s="18" t="str">
        <x:v>Shared frequency or lag alone not causal proof</x:v>
      </x:c>
      <x:c r="H48" s="18" t="str">
        <x:v>NOT VALIDATED AS A PUBLISHED METHOD BY THIS AUDIT</x:v>
      </x:c>
    </x:row>
    <x:row r="49" ht="110" customHeight="1">
      <x:c r="A49" s="18" t="str">
        <x:v>M45</x:v>
      </x:c>
      <x:c r="B49" s="18" t="str">
        <x:v>G13</x:v>
      </x:c>
      <x:c r="C49" s="18" t="str">
        <x:v>Plant-wide spectral/PCA / source-victim / conditional causality</x:v>
      </x:c>
      <x:c r="D49" s="18" t="str">
        <x:v>Retain research with inference limits</x:v>
      </x:c>
      <x:c r="E49" s="18" t="str">
        <x:v>NOT_EVIDENCED</x:v>
      </x:c>
      <x:c r="F49" s="18" t="str">
        <x:v>E09 E30</x:v>
      </x:c>
      <x:c r="G49" s="18" t="str">
        <x:v>Topology plus aligned signal/model/intervention evidence</x:v>
      </x:c>
      <x:c r="H49" s="18" t="str">
        <x:v>NOT VALIDATED AS A PUBLISHED METHOD BY THIS AUDIT</x:v>
      </x:c>
    </x:row>
    <x:row r="50" ht="110" customHeight="1">
      <x:c r="A50" s="18" t="str">
        <x:v>M46</x:v>
      </x:c>
      <x:c r="B50" s="18" t="str">
        <x:v>G14</x:v>
      </x:c>
      <x:c r="C50" s="18" t="str">
        <x:v>Tests / maintenance / configuration-specific confirmation</x:v>
      </x:c>
      <x:c r="D50" s="18" t="str">
        <x:v>Correct scoped positive evidence</x:v>
      </x:c>
      <x:c r="E50" s="18" t="str">
        <x:v>DEFECTIVE</x:v>
      </x:c>
      <x:c r="F50" s="18" t="str">
        <x:v>E09 E11 E42</x:v>
      </x:c>
      <x:c r="G50" s="18" t="str">
        <x:v>VP availability does not raise cause confidence by itself</x:v>
      </x:c>
      <x:c r="H50" s="18" t="str">
        <x:v>NOT VALIDATED AS A PUBLISHED METHOD BY THIS AUDIT</x:v>
      </x:c>
    </x:row>
    <x:row r="51" ht="110" customHeight="1">
      <x:c r="A51" s="18" t="str">
        <x:v>M47</x:v>
      </x:c>
      <x:c r="B51" s="18" t="str">
        <x:v>G15</x:v>
      </x:c>
      <x:c r="C51" s="18" t="str">
        <x:v>Persistence / episodes / recurrence / provenance</x:v>
      </x:c>
      <x:c r="D51" s="18" t="str">
        <x:v>Retain; avoid overlapping pseudo-replication</x:v>
      </x:c>
      <x:c r="E51" s="18" t="str">
        <x:v>PARTIAL/DEFECTIVE</x:v>
      </x:c>
      <x:c r="F51" s="18" t="str">
        <x:v>E04 E12 E20 E23</x:v>
      </x:c>
      <x:c r="G51" s="18" t="str">
        <x:v>Evidence support union is not true fault duration</x:v>
      </x:c>
      <x:c r="H51" s="18" t="str">
        <x:v>NOT VALIDATED AS A PUBLISHED METHOD BY THIS AUDIT</x:v>
      </x:c>
    </x:row>
    <x:row r="52" ht="110" customHeight="1">
      <x:c r="A52" s="18" t="str">
        <x:v>M48</x:v>
      </x:c>
      <x:c r="B52" s="18" t="str">
        <x:v>G15</x:v>
      </x:c>
      <x:c r="C52" s="18" t="str">
        <x:v>Priority / economics / criticality / verification</x:v>
      </x:c>
      <x:c r="D52" s="18" t="str">
        <x:v>Retain separate impact and certainty axes</x:v>
      </x:c>
      <x:c r="E52" s="18" t="str">
        <x:v>PARTIAL</x:v>
      </x:c>
      <x:c r="F52" s="18" t="str">
        <x:v>E18 E23 E31</x:v>
      </x:c>
      <x:c r="G52" s="18" t="str">
        <x:v>No cost or life claim from unvalidated proxy</x:v>
      </x:c>
      <x:c r="H52" s="18" t="str">
        <x:v>NOT VALIDATED AS A PUBLISHED METHOD BY THIS AUDIT</x:v>
      </x:c>
    </x:row>
    <x:row r="53" ht="110" customHeight="1">
      <x:c r="A53" s="18" t="str">
        <x:v>M49</x:v>
      </x:c>
      <x:c r="B53" s="18" t="str">
        <x:v>G15</x:v>
      </x:c>
      <x:c r="C53" s="18" t="str">
        <x:v>CMMS / feedback / repair and retuning verification</x:v>
      </x:c>
      <x:c r="D53" s="18" t="str">
        <x:v>Core outcome loop</x:v>
      </x:c>
      <x:c r="E53" s="18" t="str">
        <x:v>NOT_EVIDENCED</x:v>
      </x:c>
      <x:c r="F53" s="18" t="str">
        <x:v>E24 E31</x:v>
      </x:c>
      <x:c r="G53" s="18" t="str">
        <x:v>Acknowledgment and work-order closure are not restored performance</x:v>
      </x:c>
      <x:c r="H53" s="18" t="str">
        <x:v>NOT VALIDATED AS A PUBLISHED METHOD BY THIS AUDIT</x:v>
      </x:c>
    </x:row>
    <x:row r="54" ht="110" customHeight="1">
      <x:c r="A54" s="18" t="str">
        <x:v>M50</x:v>
      </x:c>
      <x:c r="B54" s="18" t="str">
        <x:v>G6/G15</x:v>
      </x:c>
      <x:c r="C54" s="18" t="str">
        <x:v>Multitimescale feature learning / wavelet-CNN</x:v>
      </x:c>
      <x:c r="D54" s="18" t="str">
        <x:v>Challenger models only</x:v>
      </x:c>
      <x:c r="E54" s="18" t="str">
        <x:v>NOT_EVIDENCED</x:v>
      </x:c>
      <x:c r="F54" s="18" t="str">
        <x:v>E08 E44</x:v>
      </x:c>
      <x:c r="G54" s="18" t="str">
        <x:v>Independent labels, comparison to simpler baseline</x:v>
      </x:c>
      <x:c r="H54" s="18" t="str">
        <x:v>NOT VALIDATED AS A PUBLISHED METHOD BY THIS AUDIT</x:v>
      </x:c>
    </x:row>
    <x:row r="55" ht="110" customHeight="1">
      <x:c r="A55" s="18" t="str">
        <x:v>M51</x:v>
      </x:c>
      <x:c r="B55" s="18" t="str">
        <x:v>G15</x:v>
      </x:c>
      <x:c r="C55" s="18" t="str">
        <x:v>LSTM early prediction / ML confidence calibration</x:v>
      </x:c>
      <x:c r="D55" s="18" t="str">
        <x:v>Future research, not a validated Traverse capability</x:v>
      </x:c>
      <x:c r="E55" s="18" t="str">
        <x:v>NOT_EVIDENCED</x:v>
      </x:c>
      <x:c r="F55" s="18" t="str">
        <x:v>E11 E44</x:v>
      </x:c>
      <x:c r="G55" s="18" t="str">
        <x:v>Slope-ratio labels not independent physical onset truth</x:v>
      </x:c>
      <x:c r="H55" s="18" t="str">
        <x:v>NOT VALIDATED AS A PUBLISHED METHOD BY THIS AUDIT</x:v>
      </x:c>
    </x:row>
    <x:row r="56" ht="110" customHeight="1">
      <x:c r="A56" s="18" t="str">
        <x:v>M52</x:v>
      </x:c>
      <x:c r="B56" s="18" t="str">
        <x:v>Platform</x:v>
      </x:c>
      <x:c r="C56" s="18" t="str">
        <x:v>Event-time / late data / deterministic config / sink guarantees</x:v>
      </x:c>
      <x:c r="D56" s="18" t="str">
        <x:v>Core production contract</x:v>
      </x:c>
      <x:c r="E56" s="18" t="str">
        <x:v>PARTIAL/DEFECTIVE</x:v>
      </x:c>
      <x:c r="F56" s="18" t="str">
        <x:v>E03 E04 E19 E20 E25 E26 E47</x:v>
      </x:c>
      <x:c r="G56" s="18" t="str">
        <x:v>No end-to-end proof from a green job or checkpoint</x:v>
      </x:c>
      <x:c r="H56" s="18" t="str">
        <x:v>NOT VALIDATED AS A PUBLISHED METHOD BY THIS AUDIT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02ea5d1dcbb64132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30" hidden="0" customWidth="1"/>
    <x:col min="4" max="4" width="34" hidden="0" customWidth="1"/>
    <x:col min="5" max="5" width="40" hidden="0" customWidth="1"/>
  </x:cols>
  <x:sheetData>
    <x:row r="1" ht="32" customHeight="1">
      <x:c r="A1" s="3" t="str">
        <x:v>WINDOW / TRIGGER CONFIGURATION CONTRACT</x:v>
      </x:c>
      <x:c r="B1" s="3"/>
      <x:c r="C1" s="3"/>
      <x:c r="D1" s="3"/>
      <x:c r="E1" s="3"/>
    </x:row>
    <x:row r="2" ht="36" customHeight="1">
      <x:c r="A2" s="7" t="str">
        <x:v>Synthetic contract example only. Separate from the 165 properties. Requires deployed capability, dependency, retention and resource checks before activation.</x:v>
      </x:c>
      <x:c r="B2" s="7"/>
      <x:c r="C2" s="7"/>
      <x:c r="D2" s="7"/>
      <x:c r="E2" s="7"/>
    </x:row>
    <x:row r="4" ht="30" customHeight="1">
      <x:c r="A4" s="12" t="str">
        <x:v>Gate</x:v>
      </x:c>
      <x:c r="B4" s="12" t="str">
        <x:v>Horizon IDs</x:v>
      </x:c>
      <x:c r="C4" s="12" t="str">
        <x:v>Trigger</x:v>
      </x:c>
      <x:c r="D4" s="12" t="str">
        <x:v>Required qualification</x:v>
      </x:c>
      <x:c r="E4" s="12" t="str">
        <x:v>Status</x:v>
      </x:c>
    </x:row>
    <x:row r="5" ht="55" customHeight="1">
      <x:c r="A5" s="18" t="str">
        <x:v>G0</x:v>
      </x:c>
      <x:c r="B5" s="18" t="str">
        <x:v>["short_1m", "long_24h"]</x:v>
      </x:c>
      <x:c r="C5" s="18" t="str">
        <x:v>WINDOW</x:v>
      </x:c>
      <x:c r="D5" s="18" t="str">
        <x:v>[]</x:v>
      </x:c>
      <x:c r="E5" s="18" t="str">
        <x:v>Illustrative — not an operational plan</x:v>
      </x:c>
    </x:row>
    <x:row r="6" ht="55" customHeight="1">
      <x:c r="A6" s="18" t="str">
        <x:v>G1</x:v>
      </x:c>
      <x:c r="B6" s="18" t="str">
        <x:v>["short_1m", "long_24h"]</x:v>
      </x:c>
      <x:c r="C6" s="18" t="str">
        <x:v>WINDOW</x:v>
      </x:c>
      <x:c r="D6" s="18" t="str">
        <x:v>["G0"]</x:v>
      </x:c>
      <x:c r="E6" s="18" t="str">
        <x:v>Illustrative — not an operational plan</x:v>
      </x:c>
    </x:row>
    <x:row r="7" ht="55" customHeight="1">
      <x:c r="A7" s="18" t="str">
        <x:v>G2</x:v>
      </x:c>
      <x:c r="B7" s="18" t="str">
        <x:v>["short_1m", "long_24h"]</x:v>
      </x:c>
      <x:c r="C7" s="18" t="str">
        <x:v>WINDOW</x:v>
      </x:c>
      <x:c r="D7" s="18" t="str">
        <x:v>["G0"]</x:v>
      </x:c>
      <x:c r="E7" s="18" t="str">
        <x:v>Illustrative — not an operational plan</x:v>
      </x:c>
    </x:row>
    <x:row r="8" ht="55" customHeight="1">
      <x:c r="A8" s="18" t="str">
        <x:v>G2r</x:v>
      </x:c>
      <x:c r="B8" s="18" t="str">
        <x:v>["short_1m", "long_24h"]</x:v>
      </x:c>
      <x:c r="C8" s="18" t="str">
        <x:v>WINDOW</x:v>
      </x:c>
      <x:c r="D8" s="18" t="str">
        <x:v>["G0"]</x:v>
      </x:c>
      <x:c r="E8" s="18" t="str">
        <x:v>Illustrative — not an operational plan</x:v>
      </x:c>
    </x:row>
    <x:row r="9" ht="55" customHeight="1">
      <x:c r="A9" s="18" t="str">
        <x:v>G3</x:v>
      </x:c>
      <x:c r="B9" s="18" t="str">
        <x:v>["short_1m", "long_24h"]</x:v>
      </x:c>
      <x:c r="C9" s="18" t="str">
        <x:v>WINDOW</x:v>
      </x:c>
      <x:c r="D9" s="18" t="str">
        <x:v>["G0"]</x:v>
      </x:c>
      <x:c r="E9" s="18" t="str">
        <x:v>Illustrative — not an operational plan</x:v>
      </x:c>
    </x:row>
    <x:row r="10" ht="55" customHeight="1">
      <x:c r="A10" s="18" t="str">
        <x:v>G4</x:v>
      </x:c>
      <x:c r="B10" s="18" t="str">
        <x:v>["short_1m", "long_24h"]</x:v>
      </x:c>
      <x:c r="C10" s="18" t="str">
        <x:v>WINDOW</x:v>
      </x:c>
      <x:c r="D10" s="18" t="str">
        <x:v>["G0"]</x:v>
      </x:c>
      <x:c r="E10" s="18" t="str">
        <x:v>Illustrative — not an operational plan</x:v>
      </x:c>
    </x:row>
    <x:row r="11" ht="55" customHeight="1">
      <x:c r="A11" s="18" t="str">
        <x:v>G5</x:v>
      </x:c>
      <x:c r="B11" s="18" t="str">
        <x:v>["long_24h"]</x:v>
      </x:c>
      <x:c r="C11" s="18" t="str">
        <x:v>WINDOW</x:v>
      </x:c>
      <x:c r="D11" s="18" t="str">
        <x:v>["G0"]</x:v>
      </x:c>
      <x:c r="E11" s="18" t="str">
        <x:v>Illustrative — not an operational plan</x:v>
      </x:c>
    </x:row>
    <x:row r="12" ht="55" customHeight="1">
      <x:c r="A12" s="18" t="str">
        <x:v>G6</x:v>
      </x:c>
      <x:c r="B12" s="18" t="str">
        <x:v>["long_24h"]</x:v>
      </x:c>
      <x:c r="C12" s="18" t="str">
        <x:v>WINDOW</x:v>
      </x:c>
      <x:c r="D12" s="18" t="str">
        <x:v>["G0"]</x:v>
      </x:c>
      <x:c r="E12" s="18" t="str">
        <x:v>Illustrative — not an operational plan</x:v>
      </x:c>
    </x:row>
    <x:row r="13" ht="55" customHeight="1">
      <x:c r="A13" s="18" t="str">
        <x:v>G7</x:v>
      </x:c>
      <x:c r="B13" s="18" t="str">
        <x:v>["long_24h"]</x:v>
      </x:c>
      <x:c r="C13" s="18" t="str">
        <x:v>WINDOW</x:v>
      </x:c>
      <x:c r="D13" s="18" t="str">
        <x:v>["G0"]</x:v>
      </x:c>
      <x:c r="E13" s="18" t="str">
        <x:v>Illustrative — not an operational plan</x:v>
      </x:c>
    </x:row>
    <x:row r="14" ht="55" customHeight="1">
      <x:c r="A14" s="18" t="str">
        <x:v>G8</x:v>
      </x:c>
      <x:c r="B14" s="18" t="str">
        <x:v>["long_24h"]</x:v>
      </x:c>
      <x:c r="C14" s="18" t="str">
        <x:v>WINDOW</x:v>
      </x:c>
      <x:c r="D14" s="18" t="str">
        <x:v>["G0"]</x:v>
      </x:c>
      <x:c r="E14" s="18" t="str">
        <x:v>Illustrative — not an operational plan</x:v>
      </x:c>
    </x:row>
    <x:row r="15" ht="55" customHeight="1">
      <x:c r="A15" s="18" t="str">
        <x:v>G9</x:v>
      </x:c>
      <x:c r="B15" s="18" t="str">
        <x:v>["long_24h"]</x:v>
      </x:c>
      <x:c r="C15" s="18" t="str">
        <x:v>WINDOW</x:v>
      </x:c>
      <x:c r="D15" s="18" t="str">
        <x:v>["G0"]</x:v>
      </x:c>
      <x:c r="E15" s="18" t="str">
        <x:v>Illustrative — not an operational plan</x:v>
      </x:c>
    </x:row>
    <x:row r="16" ht="55" customHeight="1">
      <x:c r="A16" s="18" t="str">
        <x:v>G10</x:v>
      </x:c>
      <x:c r="B16" s="18" t="str">
        <x:v>["long_24h"]</x:v>
      </x:c>
      <x:c r="C16" s="18" t="str">
        <x:v>CONDITION_AND_WINDOW</x:v>
      </x:c>
      <x:c r="D16" s="18" t="str">
        <x:v>["G0"]</x:v>
      </x:c>
      <x:c r="E16" s="18" t="str">
        <x:v>Illustrative — not an operational plan</x:v>
      </x:c>
    </x:row>
    <x:row r="17" ht="55" customHeight="1">
      <x:c r="A17" s="18" t="str">
        <x:v>G11</x:v>
      </x:c>
      <x:c r="B17" s="18" t="str">
        <x:v>["long_24h"]</x:v>
      </x:c>
      <x:c r="C17" s="18" t="str">
        <x:v>CONDITION_AND_WINDOW</x:v>
      </x:c>
      <x:c r="D17" s="18" t="str">
        <x:v>["G0"]</x:v>
      </x:c>
      <x:c r="E17" s="18" t="str">
        <x:v>Illustrative — not an operational plan</x:v>
      </x:c>
    </x:row>
    <x:row r="18" ht="55" customHeight="1">
      <x:c r="A18" s="18" t="str">
        <x:v>G12</x:v>
      </x:c>
      <x:c r="B18" s="18" t="str">
        <x:v>[]</x:v>
      </x:c>
      <x:c r="C18" s="18" t="str">
        <x:v>EVENT</x:v>
      </x:c>
      <x:c r="D18" s="18" t="str">
        <x:v>["G0"]</x:v>
      </x:c>
      <x:c r="E18" s="18" t="str">
        <x:v>Illustrative — not an operational plan</x:v>
      </x:c>
    </x:row>
    <x:row r="19" ht="55" customHeight="1">
      <x:c r="A19" s="18" t="str">
        <x:v>G13</x:v>
      </x:c>
      <x:c r="B19" s="18" t="str">
        <x:v>[]</x:v>
      </x:c>
      <x:c r="C19" s="18" t="str">
        <x:v>EVIDENCE_UPDATE</x:v>
      </x:c>
      <x:c r="D19" s="18" t="str">
        <x:v>["G0"]</x:v>
      </x:c>
      <x:c r="E19" s="18" t="str">
        <x:v>Illustrative — not an operational plan</x:v>
      </x:c>
    </x:row>
    <x:row r="20" ht="55" customHeight="1">
      <x:c r="A20" s="18" t="str">
        <x:v>G14</x:v>
      </x:c>
      <x:c r="B20" s="18" t="str">
        <x:v>[]</x:v>
      </x:c>
      <x:c r="C20" s="18" t="str">
        <x:v>EVIDENCE_UPDATE</x:v>
      </x:c>
      <x:c r="D20" s="18" t="str">
        <x:v>["G0"]</x:v>
      </x:c>
      <x:c r="E20" s="18" t="str">
        <x:v>Illustrative — not an operational plan</x:v>
      </x:c>
    </x:row>
    <x:row r="21" ht="55" customHeight="1">
      <x:c r="A21" s="18" t="str">
        <x:v>G15</x:v>
      </x:c>
      <x:c r="B21" s="18" t="str">
        <x:v>[]</x:v>
      </x:c>
      <x:c r="C21" s="18" t="str">
        <x:v>EVIDENCE_UPDATE</x:v>
      </x:c>
      <x:c r="D21" s="18" t="str">
        <x:v>["G0"]</x:v>
      </x:c>
      <x:c r="E21" s="18" t="str">
        <x:v>Illustrative — not an operational plan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a188f9848fcc4632"/>
  </x:tableParts>
</x:worksheet>
</file>